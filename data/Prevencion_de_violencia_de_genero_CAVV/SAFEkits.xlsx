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nper\Documents\ViolenciaGeneroPR\data\Prevencion_de_violencia_de_genero_CAVV\"/>
    </mc:Choice>
  </mc:AlternateContent>
  <xr:revisionPtr revIDLastSave="0" documentId="13_ncr:1_{05399FCC-6F27-4939-915F-4263159D717E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Resumen" sheetId="1" r:id="rId1"/>
    <sheet name="Data" sheetId="2" r:id="rId2"/>
    <sheet name="Edades" sheetId="3" r:id="rId3"/>
    <sheet name="Kit Analizados" sheetId="4" r:id="rId4"/>
    <sheet name="Región Policiac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5" l="1"/>
  <c r="J63" i="1"/>
  <c r="B63" i="1"/>
  <c r="F15" i="5"/>
  <c r="E15" i="5"/>
  <c r="D15" i="5"/>
  <c r="C15" i="5"/>
  <c r="B15" i="5"/>
</calcChain>
</file>

<file path=xl/sharedStrings.xml><?xml version="1.0" encoding="utf-8"?>
<sst xmlns="http://schemas.openxmlformats.org/spreadsheetml/2006/main" count="237" uniqueCount="42">
  <si>
    <t>Equipo de recolección de evidencia en casos de violencia sexual (RAPE kits/ SAFE Kits)</t>
  </si>
  <si>
    <t>Kit con querella</t>
  </si>
  <si>
    <t>Kit sin querella</t>
  </si>
  <si>
    <t>Año</t>
  </si>
  <si>
    <t>Mes</t>
  </si>
  <si>
    <t>Total recibidos</t>
  </si>
  <si>
    <t>Enero</t>
  </si>
  <si>
    <t>Julio</t>
  </si>
  <si>
    <t>Febrero</t>
  </si>
  <si>
    <t>Agosto</t>
  </si>
  <si>
    <t>Marzo</t>
  </si>
  <si>
    <t>Septiembre</t>
  </si>
  <si>
    <t>Abril</t>
  </si>
  <si>
    <t>Octubre</t>
  </si>
  <si>
    <t>Mayo</t>
  </si>
  <si>
    <t>Noviembre</t>
  </si>
  <si>
    <t>Junio</t>
  </si>
  <si>
    <t>Diciembre</t>
  </si>
  <si>
    <t>Total con querella</t>
  </si>
  <si>
    <t>Total sin querella</t>
  </si>
  <si>
    <t>TOTAL:</t>
  </si>
  <si>
    <t>Cantidad de menores</t>
  </si>
  <si>
    <t>Cantidad de mayores</t>
  </si>
  <si>
    <t>No identificado</t>
  </si>
  <si>
    <t>Laboratorio Forense</t>
  </si>
  <si>
    <t>Laboratorios Externos: BODE</t>
  </si>
  <si>
    <t>Laboratorios Externos: DNA Solutions</t>
  </si>
  <si>
    <t>Región Policiaca</t>
  </si>
  <si>
    <t>Aguadilla</t>
  </si>
  <si>
    <t>Aibonito</t>
  </si>
  <si>
    <t>Arecibo</t>
  </si>
  <si>
    <t>Caguas</t>
  </si>
  <si>
    <t>Carolina</t>
  </si>
  <si>
    <t>Fajardo</t>
  </si>
  <si>
    <t>Guayama</t>
  </si>
  <si>
    <t>Humacao</t>
  </si>
  <si>
    <t>Ponce</t>
  </si>
  <si>
    <t>San Juan</t>
  </si>
  <si>
    <t>Utuado</t>
  </si>
  <si>
    <t>Total</t>
  </si>
  <si>
    <t>Bayamón</t>
  </si>
  <si>
    <t>Mayagüez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</si>
</sst>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000000"/>
      <name val="Arial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indexed="64"/>
      </patternFill>
    </fill>
  </fills>
  <borders count="6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medium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2" fillId="4" borderId="28" xfId="0" applyFont="1" applyFill="1" applyBorder="1" applyAlignment="1">
      <alignment horizontal="center"/>
    </xf>
    <xf numFmtId="0" fontId="2" fillId="3" borderId="30" xfId="0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3" borderId="37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2" fillId="3" borderId="39" xfId="0" applyFont="1" applyFill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3" borderId="54" xfId="0" applyFont="1" applyFill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7" fillId="2" borderId="11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9" fillId="0" borderId="0" xfId="0" applyFont="1"/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2" fillId="2" borderId="60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medium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indexed="64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54:B63" totalsRowShown="0" headerRowBorderDxfId="4" tableBorderDxfId="9">
  <autoFilter ref="A54:B63" xr:uid="{00000000-0009-0000-0100-000001000000}"/>
  <tableColumns count="2">
    <tableColumn id="1" xr3:uid="{00000000-0010-0000-0000-000001000000}" name="Año" dataDxfId="6"/>
    <tableColumn id="2" xr3:uid="{00000000-0010-0000-0000-000002000000}" name="Total con querella" data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I54:J63" totalsRowShown="0" headerRowDxfId="0" dataDxfId="8" headerRowBorderDxfId="1" tableBorderDxfId="7">
  <autoFilter ref="I54:J63" xr:uid="{00000000-0009-0000-0100-000002000000}"/>
  <tableColumns count="2">
    <tableColumn id="1" xr3:uid="{00000000-0010-0000-0100-000001000000}" name="Año" dataDxfId="3"/>
    <tableColumn id="2" xr3:uid="{00000000-0010-0000-0100-000002000000}" name="Total sin querella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3"/>
  <sheetViews>
    <sheetView topLeftCell="A74" workbookViewId="0">
      <selection activeCell="D62" sqref="D62"/>
    </sheetView>
  </sheetViews>
  <sheetFormatPr defaultRowHeight="14.4" x14ac:dyDescent="0.3"/>
  <cols>
    <col min="1" max="1" width="10.33203125" customWidth="1"/>
    <col min="2" max="2" width="16.88671875" customWidth="1"/>
    <col min="3" max="3" width="13.33203125" customWidth="1"/>
    <col min="4" max="4" width="14.77734375" customWidth="1"/>
    <col min="5" max="5" width="12.6640625" customWidth="1"/>
    <col min="10" max="10" width="14" customWidth="1"/>
    <col min="12" max="12" width="13.33203125" customWidth="1"/>
  </cols>
  <sheetData>
    <row r="1" spans="1:13" ht="18" x14ac:dyDescent="0.35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21" x14ac:dyDescent="0.4">
      <c r="A3" s="80" t="s">
        <v>1</v>
      </c>
      <c r="B3" s="80"/>
      <c r="C3" s="80"/>
      <c r="D3" s="80"/>
      <c r="E3" s="80"/>
      <c r="I3" s="80" t="s">
        <v>2</v>
      </c>
      <c r="J3" s="80"/>
      <c r="K3" s="80"/>
      <c r="L3" s="80"/>
      <c r="M3" s="80"/>
    </row>
    <row r="4" spans="1:13" ht="31.2" thickBot="1" x14ac:dyDescent="0.35">
      <c r="A4" s="24" t="s">
        <v>3</v>
      </c>
      <c r="B4" s="2" t="s">
        <v>4</v>
      </c>
      <c r="C4" s="11" t="s">
        <v>5</v>
      </c>
      <c r="D4" s="2" t="s">
        <v>4</v>
      </c>
      <c r="E4" s="1" t="s">
        <v>5</v>
      </c>
      <c r="I4" s="25" t="s">
        <v>3</v>
      </c>
      <c r="J4" s="13" t="s">
        <v>4</v>
      </c>
      <c r="K4" s="14" t="s">
        <v>5</v>
      </c>
      <c r="L4" s="13" t="s">
        <v>4</v>
      </c>
      <c r="M4" s="12" t="s">
        <v>5</v>
      </c>
    </row>
    <row r="5" spans="1:13" ht="15.75" customHeight="1" x14ac:dyDescent="0.3">
      <c r="A5" s="88">
        <v>2019</v>
      </c>
      <c r="B5" s="3" t="s">
        <v>6</v>
      </c>
      <c r="C5" s="3">
        <v>10</v>
      </c>
      <c r="D5" s="4" t="s">
        <v>7</v>
      </c>
      <c r="E5" s="3">
        <v>14</v>
      </c>
      <c r="I5" s="70">
        <v>2019</v>
      </c>
      <c r="J5" s="3" t="s">
        <v>6</v>
      </c>
      <c r="K5" s="4">
        <v>8</v>
      </c>
      <c r="L5" s="4" t="s">
        <v>7</v>
      </c>
      <c r="M5" s="57">
        <v>1</v>
      </c>
    </row>
    <row r="6" spans="1:13" ht="15" customHeight="1" x14ac:dyDescent="0.3">
      <c r="A6" s="89"/>
      <c r="B6" s="7" t="s">
        <v>8</v>
      </c>
      <c r="C6" s="7">
        <v>10</v>
      </c>
      <c r="D6" s="6" t="s">
        <v>9</v>
      </c>
      <c r="E6" s="7">
        <v>13</v>
      </c>
      <c r="I6" s="71"/>
      <c r="J6" s="7" t="s">
        <v>8</v>
      </c>
      <c r="K6" s="6">
        <v>3</v>
      </c>
      <c r="L6" s="6" t="s">
        <v>9</v>
      </c>
      <c r="M6" s="58">
        <v>7</v>
      </c>
    </row>
    <row r="7" spans="1:13" ht="15" customHeight="1" x14ac:dyDescent="0.3">
      <c r="A7" s="89"/>
      <c r="B7" s="5" t="s">
        <v>10</v>
      </c>
      <c r="C7" s="5">
        <v>19</v>
      </c>
      <c r="D7" s="8" t="s">
        <v>11</v>
      </c>
      <c r="E7" s="5">
        <v>10</v>
      </c>
      <c r="I7" s="71"/>
      <c r="J7" s="5" t="s">
        <v>10</v>
      </c>
      <c r="K7" s="8">
        <v>3</v>
      </c>
      <c r="L7" s="8" t="s">
        <v>11</v>
      </c>
      <c r="M7" s="59">
        <v>0</v>
      </c>
    </row>
    <row r="8" spans="1:13" ht="15" customHeight="1" x14ac:dyDescent="0.3">
      <c r="A8" s="89"/>
      <c r="B8" s="7" t="s">
        <v>12</v>
      </c>
      <c r="C8" s="7">
        <v>8</v>
      </c>
      <c r="D8" s="6" t="s">
        <v>13</v>
      </c>
      <c r="E8" s="7">
        <v>9</v>
      </c>
      <c r="I8" s="71"/>
      <c r="J8" s="7" t="s">
        <v>12</v>
      </c>
      <c r="K8" s="6">
        <v>5</v>
      </c>
      <c r="L8" s="6" t="s">
        <v>13</v>
      </c>
      <c r="M8" s="58">
        <v>11</v>
      </c>
    </row>
    <row r="9" spans="1:13" ht="15" customHeight="1" x14ac:dyDescent="0.3">
      <c r="A9" s="89"/>
      <c r="B9" s="5" t="s">
        <v>14</v>
      </c>
      <c r="C9" s="5">
        <v>10</v>
      </c>
      <c r="D9" s="8" t="s">
        <v>15</v>
      </c>
      <c r="E9" s="5">
        <v>11</v>
      </c>
      <c r="I9" s="71"/>
      <c r="J9" s="5" t="s">
        <v>14</v>
      </c>
      <c r="K9" s="8">
        <v>13</v>
      </c>
      <c r="L9" s="8" t="s">
        <v>15</v>
      </c>
      <c r="M9" s="59">
        <v>0</v>
      </c>
    </row>
    <row r="10" spans="1:13" ht="15" customHeight="1" thickBot="1" x14ac:dyDescent="0.35">
      <c r="A10" s="90"/>
      <c r="B10" s="10" t="s">
        <v>16</v>
      </c>
      <c r="C10" s="10">
        <v>15</v>
      </c>
      <c r="D10" s="9" t="s">
        <v>17</v>
      </c>
      <c r="E10" s="10">
        <v>14</v>
      </c>
      <c r="I10" s="72"/>
      <c r="J10" s="10" t="s">
        <v>16</v>
      </c>
      <c r="K10" s="9">
        <v>1</v>
      </c>
      <c r="L10" s="9" t="s">
        <v>17</v>
      </c>
      <c r="M10" s="60">
        <v>0</v>
      </c>
    </row>
    <row r="11" spans="1:13" ht="15.75" customHeight="1" x14ac:dyDescent="0.3">
      <c r="A11" s="88">
        <v>2020</v>
      </c>
      <c r="B11" s="3" t="s">
        <v>6</v>
      </c>
      <c r="C11" s="3">
        <v>15</v>
      </c>
      <c r="D11" s="4" t="s">
        <v>7</v>
      </c>
      <c r="E11" s="3">
        <v>5</v>
      </c>
      <c r="I11" s="70">
        <v>2020</v>
      </c>
      <c r="J11" s="61" t="s">
        <v>6</v>
      </c>
      <c r="K11" s="62">
        <v>2</v>
      </c>
      <c r="L11" s="62" t="s">
        <v>7</v>
      </c>
      <c r="M11" s="63">
        <v>1</v>
      </c>
    </row>
    <row r="12" spans="1:13" ht="15" customHeight="1" x14ac:dyDescent="0.3">
      <c r="A12" s="89"/>
      <c r="B12" s="7" t="s">
        <v>8</v>
      </c>
      <c r="C12" s="7">
        <v>13</v>
      </c>
      <c r="D12" s="6" t="s">
        <v>9</v>
      </c>
      <c r="E12" s="7">
        <v>13</v>
      </c>
      <c r="I12" s="71"/>
      <c r="J12" s="7" t="s">
        <v>8</v>
      </c>
      <c r="K12" s="6">
        <v>10</v>
      </c>
      <c r="L12" s="6" t="s">
        <v>9</v>
      </c>
      <c r="M12" s="58">
        <v>1</v>
      </c>
    </row>
    <row r="13" spans="1:13" ht="15" customHeight="1" x14ac:dyDescent="0.3">
      <c r="A13" s="89"/>
      <c r="B13" s="5" t="s">
        <v>10</v>
      </c>
      <c r="C13" s="5">
        <v>2</v>
      </c>
      <c r="D13" s="8" t="s">
        <v>11</v>
      </c>
      <c r="E13" s="5">
        <v>14</v>
      </c>
      <c r="I13" s="71"/>
      <c r="J13" s="5" t="s">
        <v>10</v>
      </c>
      <c r="K13" s="8">
        <v>0</v>
      </c>
      <c r="L13" s="8" t="s">
        <v>11</v>
      </c>
      <c r="M13" s="59">
        <v>1</v>
      </c>
    </row>
    <row r="14" spans="1:13" ht="15" customHeight="1" x14ac:dyDescent="0.3">
      <c r="A14" s="89"/>
      <c r="B14" s="7" t="s">
        <v>12</v>
      </c>
      <c r="C14" s="7">
        <v>1</v>
      </c>
      <c r="D14" s="6" t="s">
        <v>13</v>
      </c>
      <c r="E14" s="7">
        <v>19</v>
      </c>
      <c r="I14" s="71"/>
      <c r="J14" s="7" t="s">
        <v>12</v>
      </c>
      <c r="K14" s="6">
        <v>0</v>
      </c>
      <c r="L14" s="6" t="s">
        <v>13</v>
      </c>
      <c r="M14" s="58">
        <v>7</v>
      </c>
    </row>
    <row r="15" spans="1:13" ht="15" customHeight="1" x14ac:dyDescent="0.3">
      <c r="A15" s="89"/>
      <c r="B15" s="5" t="s">
        <v>14</v>
      </c>
      <c r="C15" s="5">
        <v>0</v>
      </c>
      <c r="D15" s="8" t="s">
        <v>15</v>
      </c>
      <c r="E15" s="5">
        <v>9</v>
      </c>
      <c r="I15" s="71"/>
      <c r="J15" s="5" t="s">
        <v>14</v>
      </c>
      <c r="K15" s="8">
        <v>1</v>
      </c>
      <c r="L15" s="8" t="s">
        <v>15</v>
      </c>
      <c r="M15" s="59">
        <v>2</v>
      </c>
    </row>
    <row r="16" spans="1:13" ht="15" customHeight="1" thickBot="1" x14ac:dyDescent="0.35">
      <c r="A16" s="90"/>
      <c r="B16" s="10" t="s">
        <v>16</v>
      </c>
      <c r="C16" s="10">
        <v>28</v>
      </c>
      <c r="D16" s="9" t="s">
        <v>17</v>
      </c>
      <c r="E16" s="10">
        <v>9</v>
      </c>
      <c r="I16" s="72"/>
      <c r="J16" s="10" t="s">
        <v>16</v>
      </c>
      <c r="K16" s="9">
        <v>5</v>
      </c>
      <c r="L16" s="9" t="s">
        <v>17</v>
      </c>
      <c r="M16" s="60">
        <v>2</v>
      </c>
    </row>
    <row r="17" spans="1:13" ht="15" thickTop="1" x14ac:dyDescent="0.3">
      <c r="A17" s="86">
        <v>2021</v>
      </c>
      <c r="B17" s="3" t="s">
        <v>6</v>
      </c>
      <c r="C17" s="3">
        <v>15</v>
      </c>
      <c r="D17" s="4" t="s">
        <v>7</v>
      </c>
      <c r="E17" s="42">
        <v>15</v>
      </c>
      <c r="I17" s="82">
        <v>2021</v>
      </c>
      <c r="J17" s="3" t="s">
        <v>6</v>
      </c>
      <c r="K17" s="4">
        <v>1</v>
      </c>
      <c r="L17" s="4" t="s">
        <v>7</v>
      </c>
      <c r="M17" s="31">
        <v>1</v>
      </c>
    </row>
    <row r="18" spans="1:13" x14ac:dyDescent="0.3">
      <c r="A18" s="83"/>
      <c r="B18" s="7" t="s">
        <v>8</v>
      </c>
      <c r="C18" s="7">
        <v>12</v>
      </c>
      <c r="D18" s="6" t="s">
        <v>9</v>
      </c>
      <c r="E18" s="43">
        <v>13</v>
      </c>
      <c r="I18" s="77"/>
      <c r="J18" s="7" t="s">
        <v>8</v>
      </c>
      <c r="K18" s="6">
        <v>2</v>
      </c>
      <c r="L18" s="6" t="s">
        <v>9</v>
      </c>
      <c r="M18" s="32">
        <v>5</v>
      </c>
    </row>
    <row r="19" spans="1:13" x14ac:dyDescent="0.3">
      <c r="A19" s="83"/>
      <c r="B19" s="5" t="s">
        <v>10</v>
      </c>
      <c r="C19" s="5">
        <v>7</v>
      </c>
      <c r="D19" s="8" t="s">
        <v>11</v>
      </c>
      <c r="E19" s="44">
        <v>7</v>
      </c>
      <c r="I19" s="77"/>
      <c r="J19" s="5" t="s">
        <v>10</v>
      </c>
      <c r="K19" s="8">
        <v>1</v>
      </c>
      <c r="L19" s="8" t="s">
        <v>11</v>
      </c>
      <c r="M19" s="33">
        <v>2</v>
      </c>
    </row>
    <row r="20" spans="1:13" x14ac:dyDescent="0.3">
      <c r="A20" s="83"/>
      <c r="B20" s="7" t="s">
        <v>12</v>
      </c>
      <c r="C20" s="7">
        <v>9</v>
      </c>
      <c r="D20" s="6" t="s">
        <v>13</v>
      </c>
      <c r="E20" s="43">
        <v>9</v>
      </c>
      <c r="I20" s="77"/>
      <c r="J20" s="7" t="s">
        <v>12</v>
      </c>
      <c r="K20" s="6">
        <v>8</v>
      </c>
      <c r="L20" s="6" t="s">
        <v>13</v>
      </c>
      <c r="M20" s="32">
        <v>3</v>
      </c>
    </row>
    <row r="21" spans="1:13" x14ac:dyDescent="0.3">
      <c r="A21" s="83"/>
      <c r="B21" s="5" t="s">
        <v>14</v>
      </c>
      <c r="C21" s="5">
        <v>8</v>
      </c>
      <c r="D21" s="8" t="s">
        <v>15</v>
      </c>
      <c r="E21" s="44">
        <v>10</v>
      </c>
      <c r="I21" s="77"/>
      <c r="J21" s="5" t="s">
        <v>14</v>
      </c>
      <c r="K21" s="8">
        <v>0</v>
      </c>
      <c r="L21" s="8" t="s">
        <v>15</v>
      </c>
      <c r="M21" s="33">
        <v>8</v>
      </c>
    </row>
    <row r="22" spans="1:13" ht="15" thickBot="1" x14ac:dyDescent="0.35">
      <c r="A22" s="87"/>
      <c r="B22" s="10" t="s">
        <v>16</v>
      </c>
      <c r="C22" s="10">
        <v>26</v>
      </c>
      <c r="D22" s="9" t="s">
        <v>17</v>
      </c>
      <c r="E22" s="45">
        <v>8</v>
      </c>
      <c r="I22" s="81"/>
      <c r="J22" s="10" t="s">
        <v>16</v>
      </c>
      <c r="K22" s="9">
        <v>13</v>
      </c>
      <c r="L22" s="9" t="s">
        <v>17</v>
      </c>
      <c r="M22" s="34">
        <v>3</v>
      </c>
    </row>
    <row r="23" spans="1:13" x14ac:dyDescent="0.3">
      <c r="A23" s="85">
        <v>2022</v>
      </c>
      <c r="B23" s="3" t="s">
        <v>6</v>
      </c>
      <c r="C23" s="3">
        <v>14</v>
      </c>
      <c r="D23" s="4" t="s">
        <v>7</v>
      </c>
      <c r="E23" s="42">
        <v>7</v>
      </c>
      <c r="I23" s="76">
        <v>2022</v>
      </c>
      <c r="J23" s="3" t="s">
        <v>6</v>
      </c>
      <c r="K23" s="4">
        <v>5</v>
      </c>
      <c r="L23" s="4" t="s">
        <v>7</v>
      </c>
      <c r="M23" s="31">
        <v>0</v>
      </c>
    </row>
    <row r="24" spans="1:13" x14ac:dyDescent="0.3">
      <c r="A24" s="83"/>
      <c r="B24" s="7" t="s">
        <v>8</v>
      </c>
      <c r="C24" s="7">
        <v>8</v>
      </c>
      <c r="D24" s="6" t="s">
        <v>9</v>
      </c>
      <c r="E24" s="43">
        <v>17</v>
      </c>
      <c r="I24" s="77"/>
      <c r="J24" s="7" t="s">
        <v>8</v>
      </c>
      <c r="K24" s="6">
        <v>1</v>
      </c>
      <c r="L24" s="6" t="s">
        <v>9</v>
      </c>
      <c r="M24" s="32">
        <v>4</v>
      </c>
    </row>
    <row r="25" spans="1:13" x14ac:dyDescent="0.3">
      <c r="A25" s="83"/>
      <c r="B25" s="5" t="s">
        <v>10</v>
      </c>
      <c r="C25" s="5">
        <v>19</v>
      </c>
      <c r="D25" s="8" t="s">
        <v>11</v>
      </c>
      <c r="E25" s="44">
        <v>13</v>
      </c>
      <c r="I25" s="77"/>
      <c r="J25" s="5" t="s">
        <v>10</v>
      </c>
      <c r="K25" s="8">
        <v>4</v>
      </c>
      <c r="L25" s="8" t="s">
        <v>11</v>
      </c>
      <c r="M25" s="33">
        <v>1</v>
      </c>
    </row>
    <row r="26" spans="1:13" x14ac:dyDescent="0.3">
      <c r="A26" s="83"/>
      <c r="B26" s="7" t="s">
        <v>12</v>
      </c>
      <c r="C26" s="7">
        <v>9</v>
      </c>
      <c r="D26" s="6" t="s">
        <v>13</v>
      </c>
      <c r="E26" s="43">
        <v>15</v>
      </c>
      <c r="I26" s="77"/>
      <c r="J26" s="7" t="s">
        <v>12</v>
      </c>
      <c r="K26" s="6">
        <v>3</v>
      </c>
      <c r="L26" s="6" t="s">
        <v>13</v>
      </c>
      <c r="M26" s="32">
        <v>3</v>
      </c>
    </row>
    <row r="27" spans="1:13" x14ac:dyDescent="0.3">
      <c r="A27" s="83"/>
      <c r="B27" s="5" t="s">
        <v>14</v>
      </c>
      <c r="C27" s="5">
        <v>21</v>
      </c>
      <c r="D27" s="8" t="s">
        <v>15</v>
      </c>
      <c r="E27" s="44">
        <v>12</v>
      </c>
      <c r="I27" s="77"/>
      <c r="J27" s="5" t="s">
        <v>14</v>
      </c>
      <c r="K27" s="8">
        <v>5</v>
      </c>
      <c r="L27" s="8" t="s">
        <v>15</v>
      </c>
      <c r="M27" s="33">
        <v>1</v>
      </c>
    </row>
    <row r="28" spans="1:13" ht="15" thickBot="1" x14ac:dyDescent="0.35">
      <c r="A28" s="84"/>
      <c r="B28" s="10" t="s">
        <v>16</v>
      </c>
      <c r="C28" s="10">
        <v>14</v>
      </c>
      <c r="D28" s="9" t="s">
        <v>17</v>
      </c>
      <c r="E28" s="45">
        <v>20</v>
      </c>
      <c r="I28" s="81"/>
      <c r="J28" s="10" t="s">
        <v>16</v>
      </c>
      <c r="K28" s="9">
        <v>3</v>
      </c>
      <c r="L28" s="9" t="s">
        <v>17</v>
      </c>
      <c r="M28" s="34">
        <v>0</v>
      </c>
    </row>
    <row r="29" spans="1:13" ht="15" thickTop="1" x14ac:dyDescent="0.3">
      <c r="A29" s="83">
        <v>2023</v>
      </c>
      <c r="B29" s="3" t="s">
        <v>6</v>
      </c>
      <c r="C29" s="3">
        <v>6</v>
      </c>
      <c r="D29" s="4" t="s">
        <v>7</v>
      </c>
      <c r="E29" s="42">
        <v>9</v>
      </c>
      <c r="I29" s="76">
        <v>2023</v>
      </c>
      <c r="J29" s="3" t="s">
        <v>6</v>
      </c>
      <c r="K29" s="4">
        <v>1</v>
      </c>
      <c r="L29" s="4" t="s">
        <v>7</v>
      </c>
      <c r="M29" s="35">
        <v>0</v>
      </c>
    </row>
    <row r="30" spans="1:13" x14ac:dyDescent="0.3">
      <c r="A30" s="83"/>
      <c r="B30" s="7" t="s">
        <v>8</v>
      </c>
      <c r="C30" s="7">
        <v>11</v>
      </c>
      <c r="D30" s="6" t="s">
        <v>9</v>
      </c>
      <c r="E30" s="43">
        <v>9</v>
      </c>
      <c r="I30" s="77"/>
      <c r="J30" s="7" t="s">
        <v>8</v>
      </c>
      <c r="K30" s="6">
        <v>0</v>
      </c>
      <c r="L30" s="6" t="s">
        <v>9</v>
      </c>
      <c r="M30" s="32">
        <v>1</v>
      </c>
    </row>
    <row r="31" spans="1:13" x14ac:dyDescent="0.3">
      <c r="A31" s="83"/>
      <c r="B31" s="5" t="s">
        <v>10</v>
      </c>
      <c r="C31" s="5">
        <v>9</v>
      </c>
      <c r="D31" s="8" t="s">
        <v>11</v>
      </c>
      <c r="E31" s="44">
        <v>13</v>
      </c>
      <c r="I31" s="77"/>
      <c r="J31" s="5" t="s">
        <v>10</v>
      </c>
      <c r="K31" s="8">
        <v>3</v>
      </c>
      <c r="L31" s="8" t="s">
        <v>11</v>
      </c>
      <c r="M31" s="35">
        <v>12</v>
      </c>
    </row>
    <row r="32" spans="1:13" x14ac:dyDescent="0.3">
      <c r="A32" s="83"/>
      <c r="B32" s="7" t="s">
        <v>12</v>
      </c>
      <c r="C32" s="7">
        <v>10</v>
      </c>
      <c r="D32" s="6" t="s">
        <v>13</v>
      </c>
      <c r="E32" s="43">
        <v>11</v>
      </c>
      <c r="I32" s="77"/>
      <c r="J32" s="7" t="s">
        <v>12</v>
      </c>
      <c r="K32" s="6">
        <v>1</v>
      </c>
      <c r="L32" s="6" t="s">
        <v>13</v>
      </c>
      <c r="M32" s="32">
        <v>1</v>
      </c>
    </row>
    <row r="33" spans="1:13" x14ac:dyDescent="0.3">
      <c r="A33" s="83"/>
      <c r="B33" s="5" t="s">
        <v>14</v>
      </c>
      <c r="C33" s="5">
        <v>17</v>
      </c>
      <c r="D33" s="8" t="s">
        <v>15</v>
      </c>
      <c r="E33" s="44">
        <v>15</v>
      </c>
      <c r="I33" s="77"/>
      <c r="J33" s="5" t="s">
        <v>14</v>
      </c>
      <c r="K33" s="15">
        <v>1</v>
      </c>
      <c r="L33" s="8" t="s">
        <v>15</v>
      </c>
      <c r="M33" s="35">
        <v>3</v>
      </c>
    </row>
    <row r="34" spans="1:13" ht="15" thickBot="1" x14ac:dyDescent="0.35">
      <c r="A34" s="84"/>
      <c r="B34" s="18" t="s">
        <v>16</v>
      </c>
      <c r="C34" s="18">
        <v>23</v>
      </c>
      <c r="D34" s="19" t="s">
        <v>17</v>
      </c>
      <c r="E34" s="46">
        <v>11</v>
      </c>
      <c r="I34" s="81"/>
      <c r="J34" s="18" t="s">
        <v>16</v>
      </c>
      <c r="K34" s="19">
        <v>8</v>
      </c>
      <c r="L34" s="19" t="s">
        <v>17</v>
      </c>
      <c r="M34" s="36">
        <v>3</v>
      </c>
    </row>
    <row r="35" spans="1:13" ht="15" thickTop="1" x14ac:dyDescent="0.3">
      <c r="A35" s="73">
        <v>2024</v>
      </c>
      <c r="B35" s="40" t="s">
        <v>6</v>
      </c>
      <c r="C35" s="26">
        <v>12</v>
      </c>
      <c r="D35" s="26" t="s">
        <v>7</v>
      </c>
      <c r="E35" s="37">
        <v>20</v>
      </c>
      <c r="I35" s="76">
        <v>2024</v>
      </c>
      <c r="J35" s="27" t="s">
        <v>6</v>
      </c>
      <c r="K35" s="26">
        <v>1</v>
      </c>
      <c r="L35" s="26" t="s">
        <v>7</v>
      </c>
      <c r="M35" s="37">
        <v>3</v>
      </c>
    </row>
    <row r="36" spans="1:13" x14ac:dyDescent="0.3">
      <c r="A36" s="74"/>
      <c r="B36" s="23" t="s">
        <v>8</v>
      </c>
      <c r="C36" s="16">
        <v>11</v>
      </c>
      <c r="D36" s="17" t="s">
        <v>9</v>
      </c>
      <c r="E36" s="38">
        <v>15</v>
      </c>
      <c r="I36" s="77"/>
      <c r="J36" s="20" t="s">
        <v>8</v>
      </c>
      <c r="K36" s="16">
        <v>1</v>
      </c>
      <c r="L36" s="17" t="s">
        <v>9</v>
      </c>
      <c r="M36" s="38">
        <v>4</v>
      </c>
    </row>
    <row r="37" spans="1:13" x14ac:dyDescent="0.3">
      <c r="A37" s="74"/>
      <c r="B37" s="22" t="s">
        <v>10</v>
      </c>
      <c r="C37" s="16">
        <v>17</v>
      </c>
      <c r="D37" s="16" t="s">
        <v>11</v>
      </c>
      <c r="E37" s="38">
        <v>15</v>
      </c>
      <c r="I37" s="77"/>
      <c r="J37" s="21" t="s">
        <v>10</v>
      </c>
      <c r="K37" s="16">
        <v>0</v>
      </c>
      <c r="L37" s="16" t="s">
        <v>11</v>
      </c>
      <c r="M37" s="38">
        <v>6</v>
      </c>
    </row>
    <row r="38" spans="1:13" x14ac:dyDescent="0.3">
      <c r="A38" s="74"/>
      <c r="B38" s="23" t="s">
        <v>12</v>
      </c>
      <c r="C38" s="16">
        <v>13</v>
      </c>
      <c r="D38" s="17" t="s">
        <v>13</v>
      </c>
      <c r="E38" s="38">
        <v>20</v>
      </c>
      <c r="I38" s="77"/>
      <c r="J38" s="20" t="s">
        <v>12</v>
      </c>
      <c r="K38" s="16">
        <v>1</v>
      </c>
      <c r="L38" s="17" t="s">
        <v>13</v>
      </c>
      <c r="M38" s="38">
        <v>2</v>
      </c>
    </row>
    <row r="39" spans="1:13" x14ac:dyDescent="0.3">
      <c r="A39" s="74"/>
      <c r="B39" s="22" t="s">
        <v>14</v>
      </c>
      <c r="C39" s="16">
        <v>17</v>
      </c>
      <c r="D39" s="16" t="s">
        <v>15</v>
      </c>
      <c r="E39" s="38">
        <v>16</v>
      </c>
      <c r="I39" s="77"/>
      <c r="J39" s="21" t="s">
        <v>14</v>
      </c>
      <c r="K39" s="16">
        <v>2</v>
      </c>
      <c r="L39" s="16" t="s">
        <v>15</v>
      </c>
      <c r="M39" s="38">
        <v>0</v>
      </c>
    </row>
    <row r="40" spans="1:13" ht="15" thickBot="1" x14ac:dyDescent="0.35">
      <c r="A40" s="75"/>
      <c r="B40" s="41" t="s">
        <v>16</v>
      </c>
      <c r="C40" s="29">
        <v>14</v>
      </c>
      <c r="D40" s="30" t="s">
        <v>17</v>
      </c>
      <c r="E40" s="39">
        <v>16</v>
      </c>
      <c r="I40" s="78"/>
      <c r="J40" s="28" t="s">
        <v>16</v>
      </c>
      <c r="K40" s="29">
        <v>2</v>
      </c>
      <c r="L40" s="30" t="s">
        <v>17</v>
      </c>
      <c r="M40" s="39">
        <v>3</v>
      </c>
    </row>
    <row r="41" spans="1:13" ht="15" thickTop="1" x14ac:dyDescent="0.3">
      <c r="A41" s="73">
        <v>2025</v>
      </c>
      <c r="B41" s="40" t="s">
        <v>6</v>
      </c>
      <c r="C41" s="26">
        <v>13</v>
      </c>
      <c r="D41" s="26" t="s">
        <v>7</v>
      </c>
      <c r="E41" s="37">
        <v>14</v>
      </c>
      <c r="I41" s="73">
        <v>2025</v>
      </c>
      <c r="J41" s="40" t="s">
        <v>6</v>
      </c>
      <c r="K41" s="26">
        <v>1</v>
      </c>
      <c r="L41" s="26" t="s">
        <v>7</v>
      </c>
      <c r="M41" s="37">
        <v>3</v>
      </c>
    </row>
    <row r="42" spans="1:13" x14ac:dyDescent="0.3">
      <c r="A42" s="74"/>
      <c r="B42" s="23" t="s">
        <v>8</v>
      </c>
      <c r="C42" s="16">
        <v>20</v>
      </c>
      <c r="D42" s="17" t="s">
        <v>9</v>
      </c>
      <c r="E42" s="38">
        <v>20</v>
      </c>
      <c r="I42" s="74"/>
      <c r="J42" s="23" t="s">
        <v>8</v>
      </c>
      <c r="K42" s="16">
        <v>1</v>
      </c>
      <c r="L42" s="17" t="s">
        <v>9</v>
      </c>
      <c r="M42" s="38">
        <v>1</v>
      </c>
    </row>
    <row r="43" spans="1:13" x14ac:dyDescent="0.3">
      <c r="A43" s="74"/>
      <c r="B43" s="22" t="s">
        <v>10</v>
      </c>
      <c r="C43" s="16">
        <v>16</v>
      </c>
      <c r="D43" s="16" t="s">
        <v>11</v>
      </c>
      <c r="E43" s="38">
        <v>15</v>
      </c>
      <c r="I43" s="74"/>
      <c r="J43" s="22" t="s">
        <v>10</v>
      </c>
      <c r="K43" s="16">
        <v>1</v>
      </c>
      <c r="L43" s="16" t="s">
        <v>11</v>
      </c>
      <c r="M43" s="38">
        <v>5</v>
      </c>
    </row>
    <row r="44" spans="1:13" x14ac:dyDescent="0.3">
      <c r="A44" s="74"/>
      <c r="B44" s="23" t="s">
        <v>12</v>
      </c>
      <c r="C44" s="16">
        <v>18</v>
      </c>
      <c r="D44" s="17" t="s">
        <v>13</v>
      </c>
      <c r="E44" s="38">
        <v>10</v>
      </c>
      <c r="I44" s="74"/>
      <c r="J44" s="23" t="s">
        <v>12</v>
      </c>
      <c r="K44" s="16">
        <v>1</v>
      </c>
      <c r="L44" s="17" t="s">
        <v>13</v>
      </c>
      <c r="M44" s="38">
        <v>1</v>
      </c>
    </row>
    <row r="45" spans="1:13" x14ac:dyDescent="0.3">
      <c r="A45" s="74"/>
      <c r="B45" s="22" t="s">
        <v>14</v>
      </c>
      <c r="C45" s="16">
        <v>17</v>
      </c>
      <c r="D45" s="16" t="s">
        <v>15</v>
      </c>
      <c r="E45" s="38">
        <v>13</v>
      </c>
      <c r="I45" s="74"/>
      <c r="J45" s="22" t="s">
        <v>14</v>
      </c>
      <c r="K45" s="16">
        <v>4</v>
      </c>
      <c r="L45" s="16" t="s">
        <v>15</v>
      </c>
      <c r="M45" s="38">
        <v>0</v>
      </c>
    </row>
    <row r="46" spans="1:13" ht="15" thickBot="1" x14ac:dyDescent="0.35">
      <c r="A46" s="75"/>
      <c r="B46" s="41" t="s">
        <v>16</v>
      </c>
      <c r="C46" s="29">
        <v>18</v>
      </c>
      <c r="D46" s="30" t="s">
        <v>17</v>
      </c>
      <c r="E46" s="39">
        <v>16</v>
      </c>
      <c r="I46" s="75"/>
      <c r="J46" s="41" t="s">
        <v>16</v>
      </c>
      <c r="K46" s="29">
        <v>1</v>
      </c>
      <c r="L46" s="30" t="s">
        <v>17</v>
      </c>
      <c r="M46" s="39">
        <v>1</v>
      </c>
    </row>
    <row r="47" spans="1:13" ht="15" thickTop="1" x14ac:dyDescent="0.3">
      <c r="A47" s="86">
        <v>2026</v>
      </c>
      <c r="B47" s="40" t="s">
        <v>6</v>
      </c>
      <c r="C47" s="26">
        <v>10</v>
      </c>
      <c r="D47" s="26" t="s">
        <v>7</v>
      </c>
      <c r="E47" s="37">
        <v>0</v>
      </c>
      <c r="I47" s="73">
        <v>2026</v>
      </c>
      <c r="J47" s="40" t="s">
        <v>6</v>
      </c>
      <c r="K47" s="26">
        <v>2</v>
      </c>
      <c r="L47" s="26" t="s">
        <v>7</v>
      </c>
      <c r="M47" s="37">
        <v>0</v>
      </c>
    </row>
    <row r="48" spans="1:13" x14ac:dyDescent="0.3">
      <c r="A48" s="83"/>
      <c r="B48" s="23" t="s">
        <v>8</v>
      </c>
      <c r="C48" s="16">
        <v>12</v>
      </c>
      <c r="D48" s="17" t="s">
        <v>9</v>
      </c>
      <c r="E48" s="38">
        <v>0</v>
      </c>
      <c r="I48" s="74"/>
      <c r="J48" s="23" t="s">
        <v>8</v>
      </c>
      <c r="K48" s="16">
        <v>3</v>
      </c>
      <c r="L48" s="17" t="s">
        <v>9</v>
      </c>
      <c r="M48" s="38">
        <v>0</v>
      </c>
    </row>
    <row r="49" spans="1:13" x14ac:dyDescent="0.3">
      <c r="A49" s="83"/>
      <c r="B49" s="22" t="s">
        <v>10</v>
      </c>
      <c r="C49" s="16">
        <v>18</v>
      </c>
      <c r="D49" s="16" t="s">
        <v>11</v>
      </c>
      <c r="E49" s="38">
        <v>0</v>
      </c>
      <c r="I49" s="74"/>
      <c r="J49" s="22" t="s">
        <v>10</v>
      </c>
      <c r="K49" s="16">
        <v>1</v>
      </c>
      <c r="L49" s="16" t="s">
        <v>11</v>
      </c>
      <c r="M49" s="38">
        <v>0</v>
      </c>
    </row>
    <row r="50" spans="1:13" x14ac:dyDescent="0.3">
      <c r="A50" s="83"/>
      <c r="B50" s="23" t="s">
        <v>12</v>
      </c>
      <c r="C50" s="16">
        <v>13</v>
      </c>
      <c r="D50" s="17" t="s">
        <v>13</v>
      </c>
      <c r="E50" s="38">
        <v>0</v>
      </c>
      <c r="I50" s="74"/>
      <c r="J50" s="23" t="s">
        <v>12</v>
      </c>
      <c r="K50" s="16">
        <v>14</v>
      </c>
      <c r="L50" s="17" t="s">
        <v>13</v>
      </c>
      <c r="M50" s="38">
        <v>0</v>
      </c>
    </row>
    <row r="51" spans="1:13" x14ac:dyDescent="0.3">
      <c r="A51" s="83"/>
      <c r="B51" s="22" t="s">
        <v>14</v>
      </c>
      <c r="C51" s="16">
        <v>11</v>
      </c>
      <c r="D51" s="16" t="s">
        <v>15</v>
      </c>
      <c r="E51" s="38">
        <v>0</v>
      </c>
      <c r="I51" s="74"/>
      <c r="J51" s="22" t="s">
        <v>14</v>
      </c>
      <c r="K51" s="16">
        <v>3</v>
      </c>
      <c r="L51" s="16" t="s">
        <v>15</v>
      </c>
      <c r="M51" s="38">
        <v>0</v>
      </c>
    </row>
    <row r="52" spans="1:13" ht="15" thickBot="1" x14ac:dyDescent="0.35">
      <c r="A52" s="84"/>
      <c r="B52" s="41" t="s">
        <v>16</v>
      </c>
      <c r="C52" s="29">
        <v>0</v>
      </c>
      <c r="D52" s="30" t="s">
        <v>17</v>
      </c>
      <c r="E52" s="39">
        <v>0</v>
      </c>
      <c r="I52" s="75"/>
      <c r="J52" s="41" t="s">
        <v>16</v>
      </c>
      <c r="K52" s="29">
        <v>2</v>
      </c>
      <c r="L52" s="30" t="s">
        <v>17</v>
      </c>
      <c r="M52" s="39">
        <v>0</v>
      </c>
    </row>
    <row r="53" spans="1:13" ht="15.6" thickTop="1" thickBot="1" x14ac:dyDescent="0.35"/>
    <row r="54" spans="1:13" ht="31.2" thickBot="1" x14ac:dyDescent="0.35">
      <c r="A54" s="94" t="s">
        <v>3</v>
      </c>
      <c r="B54" s="99" t="s">
        <v>18</v>
      </c>
      <c r="I54" s="97" t="s">
        <v>3</v>
      </c>
      <c r="J54" s="98" t="s">
        <v>19</v>
      </c>
    </row>
    <row r="55" spans="1:13" x14ac:dyDescent="0.3">
      <c r="A55" s="93">
        <v>2019</v>
      </c>
      <c r="B55" s="62">
        <v>143</v>
      </c>
      <c r="I55" s="62">
        <v>2019</v>
      </c>
      <c r="J55" s="62">
        <v>52</v>
      </c>
    </row>
    <row r="56" spans="1:13" x14ac:dyDescent="0.3">
      <c r="A56" s="91">
        <v>2020</v>
      </c>
      <c r="B56" s="8">
        <v>128</v>
      </c>
      <c r="I56" s="8">
        <v>2020</v>
      </c>
      <c r="J56" s="8">
        <v>32</v>
      </c>
    </row>
    <row r="57" spans="1:13" x14ac:dyDescent="0.3">
      <c r="A57" s="91">
        <v>2021</v>
      </c>
      <c r="B57" s="8">
        <v>139</v>
      </c>
      <c r="I57" s="8">
        <v>2021</v>
      </c>
      <c r="J57" s="8">
        <v>47</v>
      </c>
    </row>
    <row r="58" spans="1:13" x14ac:dyDescent="0.3">
      <c r="A58" s="91">
        <v>2022</v>
      </c>
      <c r="B58" s="8">
        <v>169</v>
      </c>
      <c r="I58" s="8">
        <v>2022</v>
      </c>
      <c r="J58" s="8">
        <v>30</v>
      </c>
    </row>
    <row r="59" spans="1:13" x14ac:dyDescent="0.3">
      <c r="A59" s="91">
        <v>2023</v>
      </c>
      <c r="B59" s="8">
        <v>144</v>
      </c>
      <c r="I59" s="8">
        <v>2023</v>
      </c>
      <c r="J59" s="8">
        <v>34</v>
      </c>
    </row>
    <row r="60" spans="1:13" x14ac:dyDescent="0.3">
      <c r="A60" s="91">
        <v>2024</v>
      </c>
      <c r="B60" s="8">
        <v>186</v>
      </c>
      <c r="I60" s="8">
        <v>2024</v>
      </c>
      <c r="J60" s="8">
        <v>25</v>
      </c>
    </row>
    <row r="61" spans="1:13" x14ac:dyDescent="0.3">
      <c r="A61" s="91">
        <v>2025</v>
      </c>
      <c r="B61" s="8">
        <v>190</v>
      </c>
      <c r="I61" s="8">
        <v>2025</v>
      </c>
      <c r="J61" s="8">
        <v>20</v>
      </c>
    </row>
    <row r="62" spans="1:13" x14ac:dyDescent="0.3">
      <c r="A62" s="92">
        <v>2026</v>
      </c>
      <c r="B62" s="8">
        <v>64</v>
      </c>
      <c r="I62" s="96">
        <v>2026</v>
      </c>
      <c r="J62" s="96">
        <v>25</v>
      </c>
    </row>
    <row r="63" spans="1:13" x14ac:dyDescent="0.3">
      <c r="A63" s="92" t="s">
        <v>20</v>
      </c>
      <c r="B63" s="8">
        <f>SUM(B55:B62)</f>
        <v>1163</v>
      </c>
      <c r="I63" s="95" t="s">
        <v>20</v>
      </c>
      <c r="J63" s="95">
        <f>SUM(J55:J62)</f>
        <v>265</v>
      </c>
    </row>
  </sheetData>
  <mergeCells count="19">
    <mergeCell ref="A47:A52"/>
    <mergeCell ref="I47:I52"/>
    <mergeCell ref="A1:M1"/>
    <mergeCell ref="A3:E3"/>
    <mergeCell ref="I3:M3"/>
    <mergeCell ref="I29:I34"/>
    <mergeCell ref="I17:I22"/>
    <mergeCell ref="I23:I28"/>
    <mergeCell ref="A29:A34"/>
    <mergeCell ref="A23:A28"/>
    <mergeCell ref="A17:A22"/>
    <mergeCell ref="A11:A16"/>
    <mergeCell ref="A5:A10"/>
    <mergeCell ref="I5:I10"/>
    <mergeCell ref="I11:I16"/>
    <mergeCell ref="A41:A46"/>
    <mergeCell ref="I41:I46"/>
    <mergeCell ref="A35:A40"/>
    <mergeCell ref="I35:I40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C9" sqref="C9"/>
    </sheetView>
  </sheetViews>
  <sheetFormatPr defaultRowHeight="14.4" x14ac:dyDescent="0.3"/>
  <sheetData>
    <row r="1" spans="1:3" ht="29.4" thickBot="1" x14ac:dyDescent="0.35">
      <c r="A1" s="66" t="s">
        <v>3</v>
      </c>
      <c r="B1" s="64" t="s">
        <v>18</v>
      </c>
      <c r="C1" s="65" t="s">
        <v>19</v>
      </c>
    </row>
    <row r="2" spans="1:3" ht="15" thickTop="1" x14ac:dyDescent="0.3">
      <c r="A2" s="52">
        <v>2019</v>
      </c>
      <c r="B2" s="47">
        <v>143</v>
      </c>
      <c r="C2" s="47">
        <v>52</v>
      </c>
    </row>
    <row r="3" spans="1:3" x14ac:dyDescent="0.3">
      <c r="A3" s="53">
        <v>2020</v>
      </c>
      <c r="B3" s="48">
        <v>128</v>
      </c>
      <c r="C3" s="48">
        <v>32</v>
      </c>
    </row>
    <row r="4" spans="1:3" x14ac:dyDescent="0.3">
      <c r="A4" s="54">
        <v>2021</v>
      </c>
      <c r="B4" s="49">
        <v>139</v>
      </c>
      <c r="C4" s="49">
        <v>47</v>
      </c>
    </row>
    <row r="5" spans="1:3" x14ac:dyDescent="0.3">
      <c r="A5" s="55">
        <v>2022</v>
      </c>
      <c r="B5" s="50">
        <v>169</v>
      </c>
      <c r="C5" s="50">
        <v>30</v>
      </c>
    </row>
    <row r="6" spans="1:3" x14ac:dyDescent="0.3">
      <c r="A6" s="56">
        <v>2023</v>
      </c>
      <c r="B6" s="51">
        <v>144</v>
      </c>
      <c r="C6" s="50">
        <v>34</v>
      </c>
    </row>
    <row r="7" spans="1:3" x14ac:dyDescent="0.3">
      <c r="A7" s="55">
        <v>2024</v>
      </c>
      <c r="B7" s="67">
        <v>186</v>
      </c>
      <c r="C7" s="50">
        <v>25</v>
      </c>
    </row>
    <row r="8" spans="1:3" x14ac:dyDescent="0.3">
      <c r="A8" s="55">
        <v>2025</v>
      </c>
      <c r="B8" s="67">
        <v>190</v>
      </c>
      <c r="C8" s="50">
        <v>20</v>
      </c>
    </row>
    <row r="9" spans="1:3" x14ac:dyDescent="0.3">
      <c r="A9" s="55">
        <v>2026</v>
      </c>
      <c r="B9" s="67">
        <v>75</v>
      </c>
      <c r="C9" s="50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D18" sqref="D18"/>
    </sheetView>
  </sheetViews>
  <sheetFormatPr defaultRowHeight="14.4" x14ac:dyDescent="0.3"/>
  <cols>
    <col min="2" max="2" width="18.6640625" bestFit="1" customWidth="1"/>
    <col min="3" max="3" width="18.44140625" bestFit="1" customWidth="1"/>
    <col min="4" max="4" width="12.77734375" bestFit="1" customWidth="1"/>
  </cols>
  <sheetData>
    <row r="1" spans="1:4" x14ac:dyDescent="0.3">
      <c r="A1" s="66" t="s">
        <v>3</v>
      </c>
      <c r="B1" s="66" t="s">
        <v>21</v>
      </c>
      <c r="C1" s="66" t="s">
        <v>22</v>
      </c>
      <c r="D1" s="66" t="s">
        <v>23</v>
      </c>
    </row>
    <row r="2" spans="1:4" x14ac:dyDescent="0.3">
      <c r="A2">
        <v>2019</v>
      </c>
      <c r="B2">
        <v>51</v>
      </c>
      <c r="C2">
        <v>92</v>
      </c>
      <c r="D2">
        <v>0</v>
      </c>
    </row>
    <row r="3" spans="1:4" x14ac:dyDescent="0.3">
      <c r="A3">
        <v>2020</v>
      </c>
      <c r="B3">
        <v>50</v>
      </c>
      <c r="C3">
        <v>78</v>
      </c>
      <c r="D3">
        <v>0</v>
      </c>
    </row>
    <row r="4" spans="1:4" x14ac:dyDescent="0.3">
      <c r="A4">
        <v>2021</v>
      </c>
      <c r="B4">
        <v>53</v>
      </c>
      <c r="C4">
        <v>86</v>
      </c>
      <c r="D4">
        <v>0</v>
      </c>
    </row>
    <row r="5" spans="1:4" x14ac:dyDescent="0.3">
      <c r="A5">
        <v>2022</v>
      </c>
      <c r="B5">
        <v>71</v>
      </c>
      <c r="C5">
        <v>98</v>
      </c>
      <c r="D5">
        <v>0</v>
      </c>
    </row>
    <row r="6" spans="1:4" x14ac:dyDescent="0.3">
      <c r="A6">
        <v>2023</v>
      </c>
      <c r="B6">
        <v>68</v>
      </c>
      <c r="C6">
        <v>77</v>
      </c>
      <c r="D6">
        <v>1</v>
      </c>
    </row>
    <row r="7" spans="1:4" x14ac:dyDescent="0.3">
      <c r="A7">
        <v>2024</v>
      </c>
      <c r="B7">
        <v>98</v>
      </c>
      <c r="C7">
        <v>91</v>
      </c>
      <c r="D7">
        <v>0</v>
      </c>
    </row>
    <row r="8" spans="1:4" x14ac:dyDescent="0.3">
      <c r="A8">
        <v>2025</v>
      </c>
      <c r="B8">
        <v>89</v>
      </c>
      <c r="C8">
        <v>102</v>
      </c>
      <c r="D8">
        <v>0</v>
      </c>
    </row>
    <row r="9" spans="1:4" x14ac:dyDescent="0.3">
      <c r="A9">
        <v>2026</v>
      </c>
      <c r="B9">
        <v>31</v>
      </c>
      <c r="C9">
        <v>44</v>
      </c>
      <c r="D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89AC2-02D9-4754-B035-F9ADADF99A64}">
  <dimension ref="A1:D7"/>
  <sheetViews>
    <sheetView workbookViewId="0">
      <selection activeCell="B2" sqref="B2:D7"/>
    </sheetView>
  </sheetViews>
  <sheetFormatPr defaultRowHeight="14.4" x14ac:dyDescent="0.3"/>
  <cols>
    <col min="1" max="1" width="18.21875" customWidth="1"/>
    <col min="2" max="2" width="22.5546875" customWidth="1"/>
    <col min="3" max="3" width="30.109375" customWidth="1"/>
    <col min="4" max="4" width="32.88671875" customWidth="1"/>
  </cols>
  <sheetData>
    <row r="1" spans="1:4" x14ac:dyDescent="0.3">
      <c r="A1" s="68" t="s">
        <v>3</v>
      </c>
      <c r="B1" s="68" t="s">
        <v>24</v>
      </c>
      <c r="C1" s="68" t="s">
        <v>25</v>
      </c>
      <c r="D1" s="68" t="s">
        <v>26</v>
      </c>
    </row>
    <row r="2" spans="1:4" x14ac:dyDescent="0.3">
      <c r="A2">
        <v>2021</v>
      </c>
      <c r="B2">
        <v>22</v>
      </c>
      <c r="C2">
        <v>330</v>
      </c>
      <c r="D2">
        <v>0</v>
      </c>
    </row>
    <row r="3" spans="1:4" x14ac:dyDescent="0.3">
      <c r="A3">
        <v>2022</v>
      </c>
      <c r="B3">
        <v>33</v>
      </c>
      <c r="C3">
        <v>583</v>
      </c>
      <c r="D3">
        <v>31</v>
      </c>
    </row>
    <row r="4" spans="1:4" x14ac:dyDescent="0.3">
      <c r="A4">
        <v>2023</v>
      </c>
      <c r="B4">
        <v>119</v>
      </c>
      <c r="C4">
        <v>267</v>
      </c>
      <c r="D4">
        <v>397</v>
      </c>
    </row>
    <row r="5" spans="1:4" x14ac:dyDescent="0.3">
      <c r="A5">
        <v>2024</v>
      </c>
      <c r="B5">
        <v>130</v>
      </c>
      <c r="C5">
        <v>178</v>
      </c>
      <c r="D5">
        <v>186</v>
      </c>
    </row>
    <row r="6" spans="1:4" x14ac:dyDescent="0.3">
      <c r="A6">
        <v>2025</v>
      </c>
      <c r="B6">
        <v>98</v>
      </c>
      <c r="C6">
        <v>0</v>
      </c>
      <c r="D6">
        <v>181</v>
      </c>
    </row>
    <row r="7" spans="1:4" x14ac:dyDescent="0.3">
      <c r="A7">
        <v>2026</v>
      </c>
      <c r="B7">
        <v>70</v>
      </c>
      <c r="C7">
        <v>0</v>
      </c>
      <c r="D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4D58-C6F0-4EC1-85A1-0F64609F10E6}">
  <dimension ref="A1:G15"/>
  <sheetViews>
    <sheetView tabSelected="1" workbookViewId="0">
      <selection activeCell="H21" sqref="H21"/>
    </sheetView>
  </sheetViews>
  <sheetFormatPr defaultRowHeight="14.4" x14ac:dyDescent="0.3"/>
  <cols>
    <col min="1" max="1" width="16" customWidth="1"/>
  </cols>
  <sheetData>
    <row r="1" spans="1:7" x14ac:dyDescent="0.3">
      <c r="A1" s="68" t="s">
        <v>27</v>
      </c>
      <c r="B1" s="68">
        <v>2021</v>
      </c>
      <c r="C1" s="68">
        <v>2022</v>
      </c>
      <c r="D1" s="68">
        <v>2023</v>
      </c>
      <c r="E1" s="68">
        <v>2024</v>
      </c>
      <c r="F1" s="68">
        <v>2025</v>
      </c>
      <c r="G1" s="68">
        <v>2026</v>
      </c>
    </row>
    <row r="2" spans="1:7" x14ac:dyDescent="0.3">
      <c r="A2" t="s">
        <v>28</v>
      </c>
      <c r="B2">
        <v>17</v>
      </c>
      <c r="C2">
        <v>14</v>
      </c>
      <c r="D2">
        <v>10</v>
      </c>
      <c r="E2">
        <v>13</v>
      </c>
      <c r="F2">
        <v>9</v>
      </c>
      <c r="G2">
        <v>5</v>
      </c>
    </row>
    <row r="3" spans="1:7" x14ac:dyDescent="0.3">
      <c r="A3" t="s">
        <v>29</v>
      </c>
      <c r="B3">
        <v>5</v>
      </c>
      <c r="C3">
        <v>6</v>
      </c>
      <c r="D3">
        <v>4</v>
      </c>
      <c r="E3">
        <v>3</v>
      </c>
      <c r="F3">
        <v>4</v>
      </c>
      <c r="G3">
        <v>2</v>
      </c>
    </row>
    <row r="4" spans="1:7" x14ac:dyDescent="0.3">
      <c r="A4" t="s">
        <v>30</v>
      </c>
      <c r="B4">
        <v>8</v>
      </c>
      <c r="C4">
        <v>9</v>
      </c>
      <c r="D4">
        <v>10</v>
      </c>
      <c r="E4">
        <v>17</v>
      </c>
      <c r="F4">
        <v>11</v>
      </c>
      <c r="G4">
        <v>5</v>
      </c>
    </row>
    <row r="5" spans="1:7" x14ac:dyDescent="0.3">
      <c r="A5" t="s">
        <v>40</v>
      </c>
      <c r="B5">
        <v>20</v>
      </c>
      <c r="C5">
        <v>27</v>
      </c>
      <c r="D5">
        <v>24</v>
      </c>
      <c r="E5">
        <v>30</v>
      </c>
      <c r="F5">
        <v>39</v>
      </c>
      <c r="G5">
        <v>17</v>
      </c>
    </row>
    <row r="6" spans="1:7" x14ac:dyDescent="0.3">
      <c r="A6" t="s">
        <v>31</v>
      </c>
      <c r="B6">
        <v>12</v>
      </c>
      <c r="C6">
        <v>20</v>
      </c>
      <c r="D6">
        <v>11</v>
      </c>
      <c r="E6">
        <v>23</v>
      </c>
      <c r="F6">
        <v>17</v>
      </c>
      <c r="G6">
        <v>5</v>
      </c>
    </row>
    <row r="7" spans="1:7" x14ac:dyDescent="0.3">
      <c r="A7" t="s">
        <v>32</v>
      </c>
      <c r="B7">
        <v>8</v>
      </c>
      <c r="C7">
        <v>15</v>
      </c>
      <c r="D7">
        <v>18</v>
      </c>
      <c r="E7">
        <v>14</v>
      </c>
      <c r="F7">
        <v>17</v>
      </c>
      <c r="G7">
        <v>6</v>
      </c>
    </row>
    <row r="8" spans="1:7" x14ac:dyDescent="0.3">
      <c r="A8" t="s">
        <v>33</v>
      </c>
      <c r="B8">
        <v>4</v>
      </c>
      <c r="C8">
        <v>10</v>
      </c>
      <c r="D8">
        <v>3</v>
      </c>
      <c r="E8">
        <v>9</v>
      </c>
      <c r="F8">
        <v>9</v>
      </c>
      <c r="G8">
        <v>2</v>
      </c>
    </row>
    <row r="9" spans="1:7" x14ac:dyDescent="0.3">
      <c r="A9" t="s">
        <v>34</v>
      </c>
      <c r="B9">
        <v>3</v>
      </c>
      <c r="C9">
        <v>2</v>
      </c>
      <c r="D9">
        <v>1</v>
      </c>
      <c r="E9">
        <v>3</v>
      </c>
      <c r="F9">
        <v>5</v>
      </c>
      <c r="G9">
        <v>1</v>
      </c>
    </row>
    <row r="10" spans="1:7" x14ac:dyDescent="0.3">
      <c r="A10" t="s">
        <v>35</v>
      </c>
      <c r="B10">
        <v>5</v>
      </c>
      <c r="C10">
        <v>7</v>
      </c>
      <c r="D10">
        <v>2</v>
      </c>
      <c r="E10">
        <v>8</v>
      </c>
      <c r="F10">
        <v>6</v>
      </c>
      <c r="G10">
        <v>4</v>
      </c>
    </row>
    <row r="11" spans="1:7" x14ac:dyDescent="0.3">
      <c r="A11" t="s">
        <v>41</v>
      </c>
      <c r="B11">
        <v>11</v>
      </c>
      <c r="C11">
        <v>13</v>
      </c>
      <c r="D11">
        <v>8</v>
      </c>
      <c r="E11">
        <v>10</v>
      </c>
      <c r="F11">
        <v>6</v>
      </c>
      <c r="G11">
        <v>1</v>
      </c>
    </row>
    <row r="12" spans="1:7" x14ac:dyDescent="0.3">
      <c r="A12" t="s">
        <v>36</v>
      </c>
      <c r="B12">
        <v>10</v>
      </c>
      <c r="C12">
        <v>12</v>
      </c>
      <c r="D12">
        <v>23</v>
      </c>
      <c r="E12">
        <v>9</v>
      </c>
      <c r="F12">
        <v>19</v>
      </c>
      <c r="G12">
        <v>8</v>
      </c>
    </row>
    <row r="13" spans="1:7" x14ac:dyDescent="0.3">
      <c r="A13" t="s">
        <v>37</v>
      </c>
      <c r="B13">
        <v>35</v>
      </c>
      <c r="C13">
        <v>34</v>
      </c>
      <c r="D13">
        <v>29</v>
      </c>
      <c r="E13">
        <v>45</v>
      </c>
      <c r="F13">
        <v>44</v>
      </c>
      <c r="G13">
        <v>18</v>
      </c>
    </row>
    <row r="14" spans="1:7" x14ac:dyDescent="0.3">
      <c r="A14" t="s">
        <v>38</v>
      </c>
      <c r="B14">
        <v>3</v>
      </c>
      <c r="C14">
        <v>1</v>
      </c>
      <c r="D14">
        <v>2</v>
      </c>
      <c r="E14">
        <v>5</v>
      </c>
      <c r="F14">
        <v>4</v>
      </c>
      <c r="G14">
        <v>1</v>
      </c>
    </row>
    <row r="15" spans="1:7" x14ac:dyDescent="0.3">
      <c r="A15" s="69" t="s">
        <v>39</v>
      </c>
      <c r="B15" s="69">
        <f t="shared" ref="B15:E15" si="0">SUM(B2:B14)</f>
        <v>141</v>
      </c>
      <c r="C15" s="69">
        <f t="shared" si="0"/>
        <v>170</v>
      </c>
      <c r="D15" s="69">
        <f t="shared" si="0"/>
        <v>145</v>
      </c>
      <c r="E15" s="69">
        <f t="shared" si="0"/>
        <v>189</v>
      </c>
      <c r="F15" s="69">
        <f>SUM(F2:F14)</f>
        <v>190</v>
      </c>
      <c r="G15" s="69">
        <f>SUM(G2:G14)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Resumen</vt:lpstr>
      <vt:lpstr>Data</vt:lpstr>
      <vt:lpstr>Edades</vt:lpstr>
      <vt:lpstr>Kit Analizados</vt:lpstr>
      <vt:lpstr>Región Policiaca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Soé Rodríguez Alamo</dc:creator>
  <cp:keywords/>
  <dc:description/>
  <cp:lastModifiedBy>Genesis N. Perez Gonzalez</cp:lastModifiedBy>
  <cp:revision/>
  <dcterms:created xsi:type="dcterms:W3CDTF">2024-04-25T14:27:34Z</dcterms:created>
  <dcterms:modified xsi:type="dcterms:W3CDTF">2026-08-12T13:53:29Z</dcterms:modified>
  <cp:category/>
  <cp:contentStatus/>
</cp:coreProperties>
</file>