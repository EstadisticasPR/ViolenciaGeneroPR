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administracion_de_tribunales\"/>
    </mc:Choice>
  </mc:AlternateContent>
  <xr:revisionPtr revIDLastSave="0" documentId="13_ncr:1_{6C8C03B9-0B17-4667-9860-986704A4D575}" xr6:coauthVersionLast="47" xr6:coauthVersionMax="47" xr10:uidLastSave="{00000000-0000-0000-0000-000000000000}"/>
  <bookViews>
    <workbookView xWindow="11424" yWindow="0" windowWidth="11712" windowHeight="13056" tabRatio="828" firstSheet="2" activeTab="5" xr2:uid="{00000000-000D-0000-FFFF-FFFF00000000}"/>
  </bookViews>
  <sheets>
    <sheet name="2020-2021" sheetId="4" r:id="rId1"/>
    <sheet name="2021-2022" sheetId="1" r:id="rId2"/>
    <sheet name="2022-2023" sheetId="2" r:id="rId3"/>
    <sheet name="2023-2024" sheetId="3" r:id="rId4"/>
    <sheet name="2024-2025" sheetId="5" r:id="rId5"/>
    <sheet name="2025-202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B4" i="4"/>
  <c r="B5" i="4"/>
  <c r="B6" i="4"/>
  <c r="B12" i="4" s="1"/>
  <c r="B7" i="4"/>
  <c r="B8" i="4"/>
  <c r="B9" i="4"/>
  <c r="B10" i="4"/>
  <c r="B11" i="4"/>
  <c r="B2" i="4"/>
  <c r="B14" i="1"/>
  <c r="B3" i="1"/>
  <c r="B4" i="1"/>
  <c r="B5" i="1"/>
  <c r="B6" i="1"/>
  <c r="B7" i="1"/>
  <c r="B8" i="1"/>
  <c r="B9" i="1"/>
  <c r="B10" i="1"/>
  <c r="B11" i="1"/>
  <c r="B12" i="1"/>
  <c r="B13" i="1"/>
  <c r="B2" i="1"/>
  <c r="B3" i="2"/>
  <c r="B4" i="2"/>
  <c r="B5" i="2"/>
  <c r="B6" i="2"/>
  <c r="B7" i="2"/>
  <c r="B8" i="2"/>
  <c r="B9" i="2"/>
  <c r="B10" i="2"/>
  <c r="B11" i="2"/>
  <c r="B12" i="2"/>
  <c r="B13" i="2"/>
  <c r="B14" i="2"/>
  <c r="B2" i="2"/>
  <c r="B3" i="3"/>
  <c r="B4" i="3"/>
  <c r="B5" i="3"/>
  <c r="B6" i="3"/>
  <c r="B7" i="3"/>
  <c r="B8" i="3"/>
  <c r="B9" i="3"/>
  <c r="B10" i="3"/>
  <c r="B11" i="3"/>
  <c r="B12" i="3"/>
  <c r="B13" i="3"/>
  <c r="B14" i="3"/>
  <c r="B2" i="3"/>
  <c r="B3" i="5"/>
  <c r="B4" i="5"/>
  <c r="B5" i="5"/>
  <c r="B6" i="5"/>
  <c r="B7" i="5"/>
  <c r="B8" i="5"/>
  <c r="B9" i="5"/>
  <c r="B10" i="5"/>
  <c r="B11" i="5"/>
  <c r="B12" i="5"/>
  <c r="B13" i="5"/>
  <c r="B15" i="5" s="1"/>
  <c r="B14" i="5"/>
  <c r="B2" i="5"/>
  <c r="B3" i="6"/>
  <c r="B4" i="6"/>
  <c r="B5" i="6"/>
  <c r="B6" i="6"/>
  <c r="B7" i="6"/>
  <c r="B8" i="6"/>
  <c r="B9" i="6"/>
  <c r="B10" i="6"/>
  <c r="B11" i="6"/>
  <c r="B12" i="6"/>
  <c r="B13" i="6"/>
  <c r="B14" i="6"/>
  <c r="B2" i="6"/>
  <c r="I15" i="6"/>
  <c r="H15" i="6"/>
  <c r="G15" i="6"/>
  <c r="F15" i="6"/>
  <c r="E15" i="6"/>
  <c r="D15" i="6"/>
  <c r="C15" i="6"/>
  <c r="C15" i="5"/>
  <c r="D15" i="5"/>
  <c r="E15" i="5"/>
  <c r="F15" i="5"/>
  <c r="G15" i="5"/>
  <c r="H15" i="5"/>
  <c r="I15" i="5"/>
  <c r="I15" i="2"/>
  <c r="I12" i="4"/>
  <c r="H12" i="4"/>
  <c r="G12" i="4"/>
  <c r="F12" i="4"/>
  <c r="E12" i="4"/>
  <c r="D12" i="4"/>
  <c r="C12" i="4"/>
  <c r="B15" i="6" l="1"/>
  <c r="I15" i="3"/>
  <c r="C15" i="3"/>
  <c r="D15" i="3"/>
  <c r="E15" i="3"/>
  <c r="F15" i="3"/>
  <c r="G15" i="3"/>
  <c r="H15" i="3"/>
  <c r="B15" i="3"/>
  <c r="C15" i="2"/>
  <c r="D15" i="2"/>
  <c r="E15" i="2"/>
  <c r="F15" i="2"/>
  <c r="G15" i="2"/>
  <c r="H15" i="2"/>
  <c r="B15" i="2"/>
  <c r="I15" i="1" l="1"/>
  <c r="H15" i="1"/>
  <c r="G15" i="1"/>
  <c r="F15" i="1"/>
  <c r="E15" i="1"/>
  <c r="D15" i="1"/>
  <c r="C15" i="1"/>
  <c r="B15" i="1"/>
</calcChain>
</file>

<file path=xl/sharedStrings.xml><?xml version="1.0" encoding="utf-8"?>
<sst xmlns="http://schemas.openxmlformats.org/spreadsheetml/2006/main" count="135" uniqueCount="23">
  <si>
    <t>Región</t>
  </si>
  <si>
    <t>Total</t>
  </si>
  <si>
    <t>20 años o menos</t>
  </si>
  <si>
    <t>21-29 años</t>
  </si>
  <si>
    <t>30-39 años</t>
  </si>
  <si>
    <t>40-49 años</t>
  </si>
  <si>
    <t>50-59 años</t>
  </si>
  <si>
    <t>60 años o más</t>
  </si>
  <si>
    <t>No indica</t>
  </si>
  <si>
    <t>Aguadilla</t>
  </si>
  <si>
    <t>Aibonito</t>
  </si>
  <si>
    <t>Arecibo</t>
  </si>
  <si>
    <t>Bayamón</t>
  </si>
  <si>
    <t>Caguas</t>
  </si>
  <si>
    <t>Carolina</t>
  </si>
  <si>
    <t>Fajardo</t>
  </si>
  <si>
    <t>Guayama</t>
  </si>
  <si>
    <t>Humacao</t>
  </si>
  <si>
    <t>Mayagüez</t>
  </si>
  <si>
    <t>Ponce</t>
  </si>
  <si>
    <t>San Juan</t>
  </si>
  <si>
    <t>Utuado</t>
  </si>
  <si>
    <t>Cantidad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</si>
</sst>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workbookViewId="0">
      <selection activeCell="B23" sqref="B23"/>
    </sheetView>
  </sheetViews>
  <sheetFormatPr defaultRowHeight="14.4" x14ac:dyDescent="0.3"/>
  <cols>
    <col min="2" max="2" width="14.5546875" customWidth="1"/>
    <col min="3" max="3" width="15.6640625" bestFit="1" customWidth="1"/>
    <col min="4" max="7" width="10.33203125" bestFit="1" customWidth="1"/>
    <col min="8" max="8" width="13.33203125" bestFit="1" customWidth="1"/>
  </cols>
  <sheetData>
    <row r="1" spans="1:9" x14ac:dyDescent="0.3">
      <c r="A1" t="s">
        <v>0</v>
      </c>
      <c r="B1" t="s">
        <v>22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9</v>
      </c>
      <c r="B2" s="2">
        <f>SUM(C2:I2)</f>
        <v>12</v>
      </c>
      <c r="C2" s="2">
        <v>8</v>
      </c>
      <c r="D2" s="2">
        <v>1</v>
      </c>
      <c r="G2" s="2">
        <v>1</v>
      </c>
      <c r="H2" s="2">
        <v>1</v>
      </c>
      <c r="I2" s="2">
        <v>1</v>
      </c>
    </row>
    <row r="3" spans="1:9" x14ac:dyDescent="0.3">
      <c r="A3" t="s">
        <v>10</v>
      </c>
      <c r="B3" s="2">
        <f t="shared" ref="B3:B11" si="0">SUM(C3:I3)</f>
        <v>3</v>
      </c>
      <c r="C3" s="2">
        <v>1</v>
      </c>
      <c r="E3" s="2">
        <v>1</v>
      </c>
      <c r="H3" s="2">
        <v>1</v>
      </c>
    </row>
    <row r="4" spans="1:9" x14ac:dyDescent="0.3">
      <c r="A4" t="s">
        <v>11</v>
      </c>
      <c r="B4" s="2">
        <f t="shared" si="0"/>
        <v>15</v>
      </c>
      <c r="C4" s="2">
        <v>9</v>
      </c>
      <c r="D4" s="2">
        <v>3</v>
      </c>
      <c r="E4" s="2">
        <v>1</v>
      </c>
      <c r="F4" s="2">
        <v>1</v>
      </c>
      <c r="I4" s="2">
        <v>1</v>
      </c>
    </row>
    <row r="5" spans="1:9" x14ac:dyDescent="0.3">
      <c r="A5" t="s">
        <v>12</v>
      </c>
      <c r="B5" s="2">
        <f t="shared" si="0"/>
        <v>35</v>
      </c>
      <c r="C5" s="2">
        <v>25</v>
      </c>
      <c r="E5" s="2">
        <v>2</v>
      </c>
      <c r="F5" s="2">
        <v>5</v>
      </c>
      <c r="G5" s="2">
        <v>2</v>
      </c>
      <c r="I5" s="2">
        <v>1</v>
      </c>
    </row>
    <row r="6" spans="1:9" x14ac:dyDescent="0.3">
      <c r="A6" t="s">
        <v>13</v>
      </c>
      <c r="B6" s="2">
        <f t="shared" si="0"/>
        <v>24</v>
      </c>
      <c r="C6" s="2">
        <v>9</v>
      </c>
      <c r="D6" s="2">
        <v>5</v>
      </c>
      <c r="E6" s="2">
        <v>2</v>
      </c>
      <c r="G6" s="2">
        <v>2</v>
      </c>
      <c r="I6" s="2">
        <v>6</v>
      </c>
    </row>
    <row r="7" spans="1:9" x14ac:dyDescent="0.3">
      <c r="A7" t="s">
        <v>14</v>
      </c>
      <c r="B7" s="2">
        <f t="shared" si="0"/>
        <v>24</v>
      </c>
      <c r="C7" s="2">
        <v>17</v>
      </c>
      <c r="D7" s="2">
        <v>5</v>
      </c>
      <c r="E7" s="2">
        <v>2</v>
      </c>
    </row>
    <row r="8" spans="1:9" x14ac:dyDescent="0.3">
      <c r="A8" t="s">
        <v>15</v>
      </c>
      <c r="B8" s="2">
        <f t="shared" si="0"/>
        <v>10</v>
      </c>
      <c r="C8" s="2">
        <v>5</v>
      </c>
      <c r="D8" s="2">
        <v>3</v>
      </c>
      <c r="G8" s="2">
        <v>1</v>
      </c>
      <c r="I8" s="2">
        <v>1</v>
      </c>
    </row>
    <row r="9" spans="1:9" x14ac:dyDescent="0.3">
      <c r="A9" t="s">
        <v>16</v>
      </c>
      <c r="B9" s="2">
        <f t="shared" si="0"/>
        <v>5</v>
      </c>
      <c r="C9" s="2">
        <v>4</v>
      </c>
      <c r="D9" s="2">
        <v>1</v>
      </c>
    </row>
    <row r="10" spans="1:9" x14ac:dyDescent="0.3">
      <c r="A10" t="s">
        <v>17</v>
      </c>
      <c r="B10" s="2">
        <f t="shared" si="0"/>
        <v>5</v>
      </c>
      <c r="C10" s="2">
        <v>1</v>
      </c>
      <c r="D10" s="2">
        <v>2</v>
      </c>
      <c r="F10" s="2">
        <v>2</v>
      </c>
    </row>
    <row r="11" spans="1:9" ht="16.5" customHeight="1" x14ac:dyDescent="0.3">
      <c r="A11" t="s">
        <v>18</v>
      </c>
      <c r="B11" s="2">
        <f t="shared" si="0"/>
        <v>1</v>
      </c>
      <c r="H11" s="2">
        <v>1</v>
      </c>
    </row>
    <row r="12" spans="1:9" x14ac:dyDescent="0.3">
      <c r="A12" s="1" t="s">
        <v>1</v>
      </c>
      <c r="B12">
        <f t="shared" ref="B12:I12" si="1">SUM(B2:B11)</f>
        <v>134</v>
      </c>
      <c r="C12">
        <f t="shared" si="1"/>
        <v>79</v>
      </c>
      <c r="D12">
        <f t="shared" si="1"/>
        <v>20</v>
      </c>
      <c r="E12">
        <f t="shared" si="1"/>
        <v>8</v>
      </c>
      <c r="F12">
        <f t="shared" si="1"/>
        <v>8</v>
      </c>
      <c r="G12">
        <f t="shared" si="1"/>
        <v>6</v>
      </c>
      <c r="H12">
        <f t="shared" si="1"/>
        <v>3</v>
      </c>
      <c r="I12">
        <f t="shared" si="1"/>
        <v>10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5"/>
  <sheetViews>
    <sheetView workbookViewId="0">
      <selection activeCell="B18" sqref="B18"/>
    </sheetView>
  </sheetViews>
  <sheetFormatPr defaultRowHeight="14.4" x14ac:dyDescent="0.3"/>
  <cols>
    <col min="2" max="2" width="14.5546875" customWidth="1"/>
  </cols>
  <sheetData>
    <row r="1" spans="1:9" x14ac:dyDescent="0.3">
      <c r="A1" t="s">
        <v>0</v>
      </c>
      <c r="B1" t="s">
        <v>22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s="1" t="s">
        <v>9</v>
      </c>
      <c r="B2">
        <f>SUM(C2:I2)</f>
        <v>21</v>
      </c>
      <c r="C2">
        <v>14</v>
      </c>
      <c r="D2">
        <v>1</v>
      </c>
      <c r="E2">
        <v>1</v>
      </c>
      <c r="I2">
        <v>5</v>
      </c>
    </row>
    <row r="3" spans="1:9" x14ac:dyDescent="0.3">
      <c r="A3" s="1" t="s">
        <v>10</v>
      </c>
      <c r="B3">
        <f t="shared" ref="B3:B13" si="0">SUM(C3:I3)</f>
        <v>4</v>
      </c>
      <c r="C3">
        <v>2</v>
      </c>
      <c r="D3">
        <v>2</v>
      </c>
    </row>
    <row r="4" spans="1:9" x14ac:dyDescent="0.3">
      <c r="A4" s="1" t="s">
        <v>11</v>
      </c>
      <c r="B4">
        <f t="shared" si="0"/>
        <v>29</v>
      </c>
      <c r="C4">
        <v>18</v>
      </c>
      <c r="D4">
        <v>4</v>
      </c>
      <c r="F4">
        <v>1</v>
      </c>
      <c r="I4">
        <v>6</v>
      </c>
    </row>
    <row r="5" spans="1:9" x14ac:dyDescent="0.3">
      <c r="A5" s="1" t="s">
        <v>12</v>
      </c>
      <c r="B5">
        <f t="shared" si="0"/>
        <v>67</v>
      </c>
      <c r="C5">
        <v>36</v>
      </c>
      <c r="D5">
        <v>8</v>
      </c>
      <c r="E5">
        <v>8</v>
      </c>
      <c r="F5">
        <v>3</v>
      </c>
      <c r="G5">
        <v>2</v>
      </c>
      <c r="H5">
        <v>1</v>
      </c>
      <c r="I5">
        <v>9</v>
      </c>
    </row>
    <row r="6" spans="1:9" x14ac:dyDescent="0.3">
      <c r="A6" s="1" t="s">
        <v>13</v>
      </c>
      <c r="B6">
        <f t="shared" si="0"/>
        <v>27</v>
      </c>
      <c r="C6">
        <v>16</v>
      </c>
      <c r="D6">
        <v>4</v>
      </c>
      <c r="E6">
        <v>1</v>
      </c>
      <c r="F6">
        <v>1</v>
      </c>
      <c r="G6">
        <v>3</v>
      </c>
      <c r="H6">
        <v>1</v>
      </c>
      <c r="I6">
        <v>1</v>
      </c>
    </row>
    <row r="7" spans="1:9" x14ac:dyDescent="0.3">
      <c r="A7" s="1" t="s">
        <v>14</v>
      </c>
      <c r="B7">
        <f t="shared" si="0"/>
        <v>26</v>
      </c>
      <c r="C7">
        <v>18</v>
      </c>
      <c r="D7">
        <v>2</v>
      </c>
      <c r="E7">
        <v>2</v>
      </c>
      <c r="G7">
        <v>1</v>
      </c>
      <c r="H7">
        <v>1</v>
      </c>
      <c r="I7">
        <v>2</v>
      </c>
    </row>
    <row r="8" spans="1:9" x14ac:dyDescent="0.3">
      <c r="A8" s="1" t="s">
        <v>15</v>
      </c>
      <c r="B8">
        <f t="shared" si="0"/>
        <v>10</v>
      </c>
      <c r="C8">
        <v>5</v>
      </c>
      <c r="D8">
        <v>2</v>
      </c>
      <c r="E8">
        <v>1</v>
      </c>
      <c r="I8">
        <v>2</v>
      </c>
    </row>
    <row r="9" spans="1:9" x14ac:dyDescent="0.3">
      <c r="A9" s="1" t="s">
        <v>16</v>
      </c>
      <c r="B9">
        <f t="shared" si="0"/>
        <v>5</v>
      </c>
      <c r="C9">
        <v>3</v>
      </c>
      <c r="D9">
        <v>1</v>
      </c>
      <c r="I9">
        <v>1</v>
      </c>
    </row>
    <row r="10" spans="1:9" x14ac:dyDescent="0.3">
      <c r="A10" s="1" t="s">
        <v>17</v>
      </c>
      <c r="B10">
        <f t="shared" si="0"/>
        <v>5</v>
      </c>
      <c r="C10">
        <v>1</v>
      </c>
      <c r="E10">
        <v>1</v>
      </c>
      <c r="F10">
        <v>2</v>
      </c>
      <c r="G10">
        <v>1</v>
      </c>
    </row>
    <row r="11" spans="1:9" x14ac:dyDescent="0.3">
      <c r="A11" s="1" t="s">
        <v>18</v>
      </c>
      <c r="B11">
        <f t="shared" si="0"/>
        <v>5</v>
      </c>
      <c r="C11">
        <v>2</v>
      </c>
      <c r="D11">
        <v>2</v>
      </c>
      <c r="H11">
        <v>1</v>
      </c>
    </row>
    <row r="12" spans="1:9" x14ac:dyDescent="0.3">
      <c r="A12" s="1" t="s">
        <v>19</v>
      </c>
      <c r="B12">
        <f t="shared" si="0"/>
        <v>13</v>
      </c>
      <c r="C12">
        <v>8</v>
      </c>
      <c r="D12">
        <v>2</v>
      </c>
      <c r="E12">
        <v>1</v>
      </c>
      <c r="F12">
        <v>1</v>
      </c>
      <c r="I12">
        <v>1</v>
      </c>
    </row>
    <row r="13" spans="1:9" x14ac:dyDescent="0.3">
      <c r="A13" s="1" t="s">
        <v>20</v>
      </c>
      <c r="B13">
        <f t="shared" si="0"/>
        <v>41</v>
      </c>
      <c r="C13">
        <v>15</v>
      </c>
      <c r="D13">
        <v>12</v>
      </c>
      <c r="E13">
        <v>5</v>
      </c>
      <c r="F13">
        <v>4</v>
      </c>
      <c r="G13">
        <v>2</v>
      </c>
      <c r="H13">
        <v>1</v>
      </c>
      <c r="I13">
        <v>2</v>
      </c>
    </row>
    <row r="14" spans="1:9" x14ac:dyDescent="0.3">
      <c r="A14" s="1" t="s">
        <v>21</v>
      </c>
      <c r="B14">
        <f>SUM(C14:I14)</f>
        <v>8</v>
      </c>
      <c r="C14">
        <v>6</v>
      </c>
      <c r="E14">
        <v>2</v>
      </c>
    </row>
    <row r="15" spans="1:9" x14ac:dyDescent="0.3">
      <c r="A15" s="1" t="s">
        <v>1</v>
      </c>
      <c r="B15">
        <f t="shared" ref="B15:I15" si="1">SUM(B2:B14)</f>
        <v>261</v>
      </c>
      <c r="C15">
        <f t="shared" si="1"/>
        <v>144</v>
      </c>
      <c r="D15">
        <f t="shared" si="1"/>
        <v>40</v>
      </c>
      <c r="E15">
        <f t="shared" si="1"/>
        <v>22</v>
      </c>
      <c r="F15">
        <f t="shared" si="1"/>
        <v>12</v>
      </c>
      <c r="G15">
        <f t="shared" si="1"/>
        <v>9</v>
      </c>
      <c r="H15">
        <f t="shared" si="1"/>
        <v>5</v>
      </c>
      <c r="I15">
        <f t="shared" si="1"/>
        <v>29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"/>
  <sheetViews>
    <sheetView topLeftCell="B1" workbookViewId="0">
      <selection activeCell="C23" sqref="C23"/>
    </sheetView>
  </sheetViews>
  <sheetFormatPr defaultRowHeight="14.4" x14ac:dyDescent="0.3"/>
  <cols>
    <col min="1" max="1" width="9.88671875" bestFit="1" customWidth="1"/>
    <col min="2" max="2" width="14.5546875" customWidth="1"/>
    <col min="3" max="3" width="15.6640625" bestFit="1" customWidth="1"/>
    <col min="4" max="7" width="10.33203125" bestFit="1" customWidth="1"/>
    <col min="8" max="8" width="13.33203125" bestFit="1" customWidth="1"/>
    <col min="9" max="9" width="9.33203125" bestFit="1" customWidth="1"/>
  </cols>
  <sheetData>
    <row r="1" spans="1:9" x14ac:dyDescent="0.3">
      <c r="A1" t="s">
        <v>0</v>
      </c>
      <c r="B1" t="s">
        <v>22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s="1" t="s">
        <v>9</v>
      </c>
      <c r="B2">
        <f>SUM(C2:I2)</f>
        <v>5</v>
      </c>
      <c r="C2">
        <v>3</v>
      </c>
      <c r="D2">
        <v>1</v>
      </c>
      <c r="I2">
        <v>1</v>
      </c>
    </row>
    <row r="3" spans="1:9" x14ac:dyDescent="0.3">
      <c r="A3" s="1" t="s">
        <v>10</v>
      </c>
      <c r="B3">
        <f t="shared" ref="B3:B14" si="0">SUM(C3:I3)</f>
        <v>5</v>
      </c>
      <c r="C3">
        <v>3</v>
      </c>
      <c r="E3">
        <v>1</v>
      </c>
      <c r="G3">
        <v>1</v>
      </c>
    </row>
    <row r="4" spans="1:9" x14ac:dyDescent="0.3">
      <c r="A4" s="1" t="s">
        <v>11</v>
      </c>
      <c r="B4">
        <f t="shared" si="0"/>
        <v>16</v>
      </c>
      <c r="C4">
        <v>10</v>
      </c>
      <c r="F4">
        <v>1</v>
      </c>
      <c r="I4">
        <v>5</v>
      </c>
    </row>
    <row r="5" spans="1:9" x14ac:dyDescent="0.3">
      <c r="A5" s="1" t="s">
        <v>12</v>
      </c>
      <c r="B5">
        <f t="shared" si="0"/>
        <v>46</v>
      </c>
      <c r="C5">
        <v>35</v>
      </c>
      <c r="D5">
        <v>4</v>
      </c>
      <c r="E5">
        <v>1</v>
      </c>
      <c r="F5">
        <v>0</v>
      </c>
      <c r="I5">
        <v>6</v>
      </c>
    </row>
    <row r="6" spans="1:9" x14ac:dyDescent="0.3">
      <c r="A6" s="1" t="s">
        <v>13</v>
      </c>
      <c r="B6">
        <f t="shared" si="0"/>
        <v>18</v>
      </c>
      <c r="C6">
        <v>9</v>
      </c>
      <c r="D6">
        <v>3</v>
      </c>
      <c r="E6">
        <v>2</v>
      </c>
      <c r="F6">
        <v>1</v>
      </c>
      <c r="I6">
        <v>3</v>
      </c>
    </row>
    <row r="7" spans="1:9" x14ac:dyDescent="0.3">
      <c r="A7" s="1" t="s">
        <v>14</v>
      </c>
      <c r="B7">
        <f t="shared" si="0"/>
        <v>23</v>
      </c>
      <c r="C7">
        <v>19</v>
      </c>
      <c r="D7">
        <v>3</v>
      </c>
      <c r="H7">
        <v>1</v>
      </c>
      <c r="I7">
        <v>0</v>
      </c>
    </row>
    <row r="8" spans="1:9" x14ac:dyDescent="0.3">
      <c r="A8" s="1" t="s">
        <v>15</v>
      </c>
      <c r="B8">
        <f t="shared" si="0"/>
        <v>7</v>
      </c>
      <c r="C8">
        <v>5</v>
      </c>
      <c r="D8">
        <v>1</v>
      </c>
      <c r="E8">
        <v>1</v>
      </c>
      <c r="H8">
        <v>0</v>
      </c>
    </row>
    <row r="9" spans="1:9" x14ac:dyDescent="0.3">
      <c r="A9" s="1" t="s">
        <v>16</v>
      </c>
      <c r="B9">
        <f t="shared" si="0"/>
        <v>4</v>
      </c>
      <c r="C9">
        <v>1</v>
      </c>
      <c r="D9">
        <v>1</v>
      </c>
      <c r="G9">
        <v>1</v>
      </c>
      <c r="H9">
        <v>1</v>
      </c>
    </row>
    <row r="10" spans="1:9" x14ac:dyDescent="0.3">
      <c r="A10" s="1" t="s">
        <v>17</v>
      </c>
      <c r="B10">
        <f t="shared" si="0"/>
        <v>5</v>
      </c>
      <c r="C10">
        <v>3</v>
      </c>
      <c r="E10">
        <v>1</v>
      </c>
      <c r="F10">
        <v>1</v>
      </c>
    </row>
    <row r="11" spans="1:9" x14ac:dyDescent="0.3">
      <c r="A11" s="1" t="s">
        <v>18</v>
      </c>
      <c r="B11">
        <f t="shared" si="0"/>
        <v>4</v>
      </c>
      <c r="C11">
        <v>2</v>
      </c>
      <c r="E11">
        <v>2</v>
      </c>
    </row>
    <row r="12" spans="1:9" x14ac:dyDescent="0.3">
      <c r="A12" s="1" t="s">
        <v>19</v>
      </c>
      <c r="B12">
        <f t="shared" si="0"/>
        <v>20</v>
      </c>
      <c r="C12">
        <v>11</v>
      </c>
      <c r="D12">
        <v>3</v>
      </c>
      <c r="E12">
        <v>2</v>
      </c>
      <c r="F12">
        <v>1</v>
      </c>
      <c r="H12">
        <v>1</v>
      </c>
      <c r="I12">
        <v>2</v>
      </c>
    </row>
    <row r="13" spans="1:9" x14ac:dyDescent="0.3">
      <c r="A13" s="1" t="s">
        <v>20</v>
      </c>
      <c r="B13">
        <f t="shared" si="0"/>
        <v>30</v>
      </c>
      <c r="C13">
        <v>7</v>
      </c>
      <c r="D13">
        <v>8</v>
      </c>
      <c r="E13">
        <v>8</v>
      </c>
      <c r="F13">
        <v>3</v>
      </c>
      <c r="G13">
        <v>1</v>
      </c>
      <c r="H13">
        <v>2</v>
      </c>
      <c r="I13">
        <v>1</v>
      </c>
    </row>
    <row r="14" spans="1:9" x14ac:dyDescent="0.3">
      <c r="A14" s="1" t="s">
        <v>21</v>
      </c>
      <c r="B14">
        <f t="shared" si="0"/>
        <v>13</v>
      </c>
      <c r="C14">
        <v>10</v>
      </c>
      <c r="D14">
        <v>1</v>
      </c>
      <c r="E14">
        <v>1</v>
      </c>
      <c r="I14">
        <v>1</v>
      </c>
    </row>
    <row r="15" spans="1:9" x14ac:dyDescent="0.3">
      <c r="A15" s="1" t="s">
        <v>1</v>
      </c>
      <c r="B15">
        <f>SUM(B2:B14)</f>
        <v>196</v>
      </c>
      <c r="C15">
        <f t="shared" ref="C15:H15" si="1">SUM(C2:C14)</f>
        <v>118</v>
      </c>
      <c r="D15">
        <f t="shared" si="1"/>
        <v>25</v>
      </c>
      <c r="E15">
        <f t="shared" si="1"/>
        <v>19</v>
      </c>
      <c r="F15">
        <f t="shared" si="1"/>
        <v>7</v>
      </c>
      <c r="G15">
        <f t="shared" si="1"/>
        <v>3</v>
      </c>
      <c r="H15">
        <f t="shared" si="1"/>
        <v>5</v>
      </c>
      <c r="I15">
        <f>SUM(I2:I14)</f>
        <v>19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"/>
  <sheetViews>
    <sheetView topLeftCell="B1" workbookViewId="0">
      <selection activeCell="D20" sqref="D20"/>
    </sheetView>
  </sheetViews>
  <sheetFormatPr defaultRowHeight="14.4" x14ac:dyDescent="0.3"/>
  <cols>
    <col min="2" max="2" width="14.5546875" customWidth="1"/>
    <col min="3" max="3" width="15.6640625" bestFit="1" customWidth="1"/>
    <col min="4" max="7" width="10.33203125" bestFit="1" customWidth="1"/>
    <col min="8" max="8" width="13.33203125" bestFit="1" customWidth="1"/>
  </cols>
  <sheetData>
    <row r="1" spans="1:9" x14ac:dyDescent="0.3">
      <c r="A1" t="s">
        <v>0</v>
      </c>
      <c r="B1" t="s">
        <v>22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s="1" t="s">
        <v>9</v>
      </c>
      <c r="B2">
        <f>SUM(C2:I2)</f>
        <v>19</v>
      </c>
      <c r="C2">
        <v>8</v>
      </c>
      <c r="D2">
        <v>2</v>
      </c>
      <c r="E2">
        <v>1</v>
      </c>
      <c r="G2">
        <v>1</v>
      </c>
      <c r="I2">
        <v>7</v>
      </c>
    </row>
    <row r="3" spans="1:9" x14ac:dyDescent="0.3">
      <c r="A3" s="1" t="s">
        <v>10</v>
      </c>
      <c r="B3">
        <f t="shared" ref="B3:B14" si="0">SUM(C3:I3)</f>
        <v>9</v>
      </c>
      <c r="C3">
        <v>5</v>
      </c>
      <c r="D3">
        <v>2</v>
      </c>
      <c r="I3">
        <v>2</v>
      </c>
    </row>
    <row r="4" spans="1:9" x14ac:dyDescent="0.3">
      <c r="A4" s="1" t="s">
        <v>11</v>
      </c>
      <c r="B4">
        <f t="shared" si="0"/>
        <v>36</v>
      </c>
      <c r="C4">
        <v>17</v>
      </c>
      <c r="D4">
        <v>3</v>
      </c>
      <c r="E4">
        <v>3</v>
      </c>
      <c r="F4">
        <v>1</v>
      </c>
      <c r="G4">
        <v>1</v>
      </c>
      <c r="I4">
        <v>11</v>
      </c>
    </row>
    <row r="5" spans="1:9" x14ac:dyDescent="0.3">
      <c r="A5" s="1" t="s">
        <v>12</v>
      </c>
      <c r="B5">
        <f t="shared" si="0"/>
        <v>79</v>
      </c>
      <c r="C5">
        <v>45</v>
      </c>
      <c r="D5">
        <v>3</v>
      </c>
      <c r="E5">
        <v>3</v>
      </c>
      <c r="F5">
        <v>2</v>
      </c>
      <c r="I5">
        <v>26</v>
      </c>
    </row>
    <row r="6" spans="1:9" x14ac:dyDescent="0.3">
      <c r="A6" s="1" t="s">
        <v>13</v>
      </c>
      <c r="B6">
        <f t="shared" si="0"/>
        <v>26</v>
      </c>
      <c r="C6">
        <v>11</v>
      </c>
      <c r="D6">
        <v>5</v>
      </c>
      <c r="E6">
        <v>2</v>
      </c>
      <c r="F6">
        <v>2</v>
      </c>
      <c r="G6">
        <v>1</v>
      </c>
      <c r="I6">
        <v>5</v>
      </c>
    </row>
    <row r="7" spans="1:9" x14ac:dyDescent="0.3">
      <c r="A7" s="1" t="s">
        <v>14</v>
      </c>
      <c r="B7">
        <f t="shared" si="0"/>
        <v>31</v>
      </c>
      <c r="C7">
        <v>21</v>
      </c>
      <c r="D7">
        <v>4</v>
      </c>
      <c r="E7">
        <v>2</v>
      </c>
      <c r="F7">
        <v>2</v>
      </c>
      <c r="H7">
        <v>1</v>
      </c>
      <c r="I7">
        <v>1</v>
      </c>
    </row>
    <row r="8" spans="1:9" x14ac:dyDescent="0.3">
      <c r="A8" s="1" t="s">
        <v>15</v>
      </c>
      <c r="B8">
        <f t="shared" si="0"/>
        <v>12</v>
      </c>
      <c r="C8">
        <v>8</v>
      </c>
      <c r="E8">
        <v>1</v>
      </c>
      <c r="F8">
        <v>1</v>
      </c>
      <c r="G8">
        <v>1</v>
      </c>
      <c r="H8">
        <v>1</v>
      </c>
    </row>
    <row r="9" spans="1:9" x14ac:dyDescent="0.3">
      <c r="A9" s="1" t="s">
        <v>16</v>
      </c>
      <c r="B9">
        <f t="shared" si="0"/>
        <v>12</v>
      </c>
      <c r="C9">
        <v>6</v>
      </c>
      <c r="D9">
        <v>2</v>
      </c>
      <c r="F9">
        <v>2</v>
      </c>
      <c r="H9">
        <v>1</v>
      </c>
      <c r="I9">
        <v>1</v>
      </c>
    </row>
    <row r="10" spans="1:9" x14ac:dyDescent="0.3">
      <c r="A10" s="1" t="s">
        <v>17</v>
      </c>
      <c r="B10">
        <f t="shared" si="0"/>
        <v>17</v>
      </c>
      <c r="C10">
        <v>9</v>
      </c>
      <c r="D10">
        <v>2</v>
      </c>
      <c r="G10">
        <v>2</v>
      </c>
      <c r="H10">
        <v>2</v>
      </c>
      <c r="I10">
        <v>2</v>
      </c>
    </row>
    <row r="11" spans="1:9" x14ac:dyDescent="0.3">
      <c r="A11" s="1" t="s">
        <v>18</v>
      </c>
      <c r="B11">
        <f t="shared" si="0"/>
        <v>5</v>
      </c>
      <c r="C11">
        <v>5</v>
      </c>
    </row>
    <row r="12" spans="1:9" x14ac:dyDescent="0.3">
      <c r="A12" s="1" t="s">
        <v>19</v>
      </c>
      <c r="B12">
        <f t="shared" si="0"/>
        <v>32</v>
      </c>
      <c r="C12">
        <v>22</v>
      </c>
      <c r="D12">
        <v>2</v>
      </c>
      <c r="E12">
        <v>1</v>
      </c>
      <c r="H12">
        <v>1</v>
      </c>
      <c r="I12">
        <v>6</v>
      </c>
    </row>
    <row r="13" spans="1:9" x14ac:dyDescent="0.3">
      <c r="A13" s="1" t="s">
        <v>20</v>
      </c>
      <c r="B13">
        <f t="shared" si="0"/>
        <v>38</v>
      </c>
      <c r="C13">
        <v>15</v>
      </c>
      <c r="D13">
        <v>4</v>
      </c>
      <c r="E13">
        <v>4</v>
      </c>
      <c r="F13">
        <v>3</v>
      </c>
      <c r="G13">
        <v>3</v>
      </c>
      <c r="H13">
        <v>2</v>
      </c>
      <c r="I13">
        <v>7</v>
      </c>
    </row>
    <row r="14" spans="1:9" x14ac:dyDescent="0.3">
      <c r="A14" s="1" t="s">
        <v>21</v>
      </c>
      <c r="B14">
        <f t="shared" si="0"/>
        <v>17</v>
      </c>
      <c r="C14">
        <v>11</v>
      </c>
      <c r="D14">
        <v>3</v>
      </c>
      <c r="E14">
        <v>1</v>
      </c>
      <c r="G14">
        <v>1</v>
      </c>
      <c r="H14">
        <v>1</v>
      </c>
    </row>
    <row r="15" spans="1:9" x14ac:dyDescent="0.3">
      <c r="A15" s="1" t="s">
        <v>1</v>
      </c>
      <c r="B15">
        <f>SUM(B2:B14)</f>
        <v>333</v>
      </c>
      <c r="C15">
        <f t="shared" ref="C15:I15" si="1">SUM(C2:C14)</f>
        <v>183</v>
      </c>
      <c r="D15">
        <f t="shared" si="1"/>
        <v>32</v>
      </c>
      <c r="E15">
        <f t="shared" si="1"/>
        <v>18</v>
      </c>
      <c r="F15">
        <f t="shared" si="1"/>
        <v>13</v>
      </c>
      <c r="G15">
        <f t="shared" si="1"/>
        <v>10</v>
      </c>
      <c r="H15">
        <f t="shared" si="1"/>
        <v>9</v>
      </c>
      <c r="I15">
        <f t="shared" si="1"/>
        <v>68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"/>
  <sheetViews>
    <sheetView workbookViewId="0">
      <selection activeCell="C21" sqref="C21"/>
    </sheetView>
  </sheetViews>
  <sheetFormatPr defaultRowHeight="14.4" x14ac:dyDescent="0.3"/>
  <cols>
    <col min="2" max="2" width="14.5546875" customWidth="1"/>
    <col min="3" max="3" width="15.6640625" bestFit="1" customWidth="1"/>
    <col min="4" max="7" width="10.33203125" bestFit="1" customWidth="1"/>
    <col min="8" max="8" width="13.33203125" bestFit="1" customWidth="1"/>
  </cols>
  <sheetData>
    <row r="1" spans="1:9" x14ac:dyDescent="0.3">
      <c r="A1" t="s">
        <v>0</v>
      </c>
      <c r="B1" t="s">
        <v>22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s="1" t="s">
        <v>9</v>
      </c>
      <c r="B2">
        <f>SUM(C2:I2)</f>
        <v>21</v>
      </c>
      <c r="C2">
        <v>13</v>
      </c>
      <c r="D2">
        <v>0</v>
      </c>
      <c r="E2">
        <v>0</v>
      </c>
      <c r="F2">
        <v>1</v>
      </c>
      <c r="G2">
        <v>0</v>
      </c>
      <c r="H2">
        <v>1</v>
      </c>
      <c r="I2">
        <v>6</v>
      </c>
    </row>
    <row r="3" spans="1:9" x14ac:dyDescent="0.3">
      <c r="A3" s="1" t="s">
        <v>10</v>
      </c>
      <c r="B3">
        <f t="shared" ref="B3:B14" si="0">SUM(C3:I3)</f>
        <v>11</v>
      </c>
      <c r="C3">
        <v>6</v>
      </c>
      <c r="D3">
        <v>1</v>
      </c>
      <c r="E3">
        <v>2</v>
      </c>
      <c r="F3">
        <v>0</v>
      </c>
      <c r="G3">
        <v>0</v>
      </c>
      <c r="H3">
        <v>1</v>
      </c>
      <c r="I3">
        <v>1</v>
      </c>
    </row>
    <row r="4" spans="1:9" x14ac:dyDescent="0.3">
      <c r="A4" s="1" t="s">
        <v>11</v>
      </c>
      <c r="B4">
        <f t="shared" si="0"/>
        <v>44</v>
      </c>
      <c r="C4">
        <v>24</v>
      </c>
      <c r="D4">
        <v>2</v>
      </c>
      <c r="E4">
        <v>3</v>
      </c>
      <c r="F4">
        <v>0</v>
      </c>
      <c r="G4">
        <v>0</v>
      </c>
      <c r="H4">
        <v>0</v>
      </c>
      <c r="I4">
        <v>15</v>
      </c>
    </row>
    <row r="5" spans="1:9" x14ac:dyDescent="0.3">
      <c r="A5" s="1" t="s">
        <v>12</v>
      </c>
      <c r="B5">
        <f t="shared" si="0"/>
        <v>80</v>
      </c>
      <c r="C5">
        <v>46</v>
      </c>
      <c r="D5">
        <v>5</v>
      </c>
      <c r="E5">
        <v>4</v>
      </c>
      <c r="F5">
        <v>2</v>
      </c>
      <c r="G5">
        <v>0</v>
      </c>
      <c r="H5">
        <v>1</v>
      </c>
      <c r="I5">
        <v>22</v>
      </c>
    </row>
    <row r="6" spans="1:9" x14ac:dyDescent="0.3">
      <c r="A6" s="1" t="s">
        <v>13</v>
      </c>
      <c r="B6">
        <f t="shared" si="0"/>
        <v>47</v>
      </c>
      <c r="C6">
        <v>9</v>
      </c>
      <c r="D6">
        <v>2</v>
      </c>
      <c r="E6">
        <v>3</v>
      </c>
      <c r="F6">
        <v>1</v>
      </c>
      <c r="G6">
        <v>0</v>
      </c>
      <c r="H6">
        <v>0</v>
      </c>
      <c r="I6">
        <v>32</v>
      </c>
    </row>
    <row r="7" spans="1:9" x14ac:dyDescent="0.3">
      <c r="A7" s="1" t="s">
        <v>14</v>
      </c>
      <c r="B7">
        <f t="shared" si="0"/>
        <v>30</v>
      </c>
      <c r="C7">
        <v>14</v>
      </c>
      <c r="D7">
        <v>10</v>
      </c>
      <c r="E7">
        <v>4</v>
      </c>
      <c r="F7">
        <v>0</v>
      </c>
      <c r="G7">
        <v>1</v>
      </c>
      <c r="H7">
        <v>0</v>
      </c>
      <c r="I7">
        <v>1</v>
      </c>
    </row>
    <row r="8" spans="1:9" x14ac:dyDescent="0.3">
      <c r="A8" s="1" t="s">
        <v>15</v>
      </c>
      <c r="B8">
        <f t="shared" si="0"/>
        <v>11</v>
      </c>
      <c r="C8">
        <v>5</v>
      </c>
      <c r="D8">
        <v>3</v>
      </c>
      <c r="E8">
        <v>0</v>
      </c>
      <c r="F8">
        <v>1</v>
      </c>
      <c r="G8">
        <v>1</v>
      </c>
      <c r="H8">
        <v>0</v>
      </c>
      <c r="I8">
        <v>1</v>
      </c>
    </row>
    <row r="9" spans="1:9" x14ac:dyDescent="0.3">
      <c r="A9" s="1" t="s">
        <v>16</v>
      </c>
      <c r="B9">
        <f t="shared" si="0"/>
        <v>9</v>
      </c>
      <c r="C9">
        <v>0</v>
      </c>
      <c r="D9">
        <v>1</v>
      </c>
      <c r="E9">
        <v>2</v>
      </c>
      <c r="F9">
        <v>3</v>
      </c>
      <c r="G9">
        <v>1</v>
      </c>
      <c r="H9">
        <v>0</v>
      </c>
      <c r="I9">
        <v>2</v>
      </c>
    </row>
    <row r="10" spans="1:9" x14ac:dyDescent="0.3">
      <c r="A10" s="1" t="s">
        <v>17</v>
      </c>
      <c r="B10">
        <f t="shared" si="0"/>
        <v>10</v>
      </c>
      <c r="C10">
        <v>4</v>
      </c>
      <c r="D10">
        <v>2</v>
      </c>
      <c r="E10">
        <v>0</v>
      </c>
      <c r="F10">
        <v>3</v>
      </c>
      <c r="G10">
        <v>0</v>
      </c>
      <c r="H10">
        <v>0</v>
      </c>
      <c r="I10">
        <v>1</v>
      </c>
    </row>
    <row r="11" spans="1:9" x14ac:dyDescent="0.3">
      <c r="A11" s="1" t="s">
        <v>18</v>
      </c>
      <c r="B11">
        <f t="shared" si="0"/>
        <v>16</v>
      </c>
      <c r="C11">
        <v>11</v>
      </c>
      <c r="D11">
        <v>3</v>
      </c>
      <c r="E11">
        <v>0</v>
      </c>
      <c r="F11">
        <v>1</v>
      </c>
      <c r="G11">
        <v>0</v>
      </c>
      <c r="H11">
        <v>0</v>
      </c>
      <c r="I11">
        <v>1</v>
      </c>
    </row>
    <row r="12" spans="1:9" x14ac:dyDescent="0.3">
      <c r="A12" s="1" t="s">
        <v>19</v>
      </c>
      <c r="B12">
        <f t="shared" si="0"/>
        <v>44</v>
      </c>
      <c r="C12">
        <v>33</v>
      </c>
      <c r="D12">
        <v>3</v>
      </c>
      <c r="E12">
        <v>2</v>
      </c>
      <c r="F12">
        <v>1</v>
      </c>
      <c r="G12">
        <v>1</v>
      </c>
      <c r="H12">
        <v>1</v>
      </c>
      <c r="I12">
        <v>3</v>
      </c>
    </row>
    <row r="13" spans="1:9" x14ac:dyDescent="0.3">
      <c r="A13" s="1" t="s">
        <v>20</v>
      </c>
      <c r="B13">
        <f t="shared" si="0"/>
        <v>38</v>
      </c>
      <c r="C13">
        <v>14</v>
      </c>
      <c r="D13">
        <v>8</v>
      </c>
      <c r="E13">
        <v>4</v>
      </c>
      <c r="F13">
        <v>1</v>
      </c>
      <c r="G13">
        <v>0</v>
      </c>
      <c r="H13">
        <v>3</v>
      </c>
      <c r="I13">
        <v>8</v>
      </c>
    </row>
    <row r="14" spans="1:9" x14ac:dyDescent="0.3">
      <c r="A14" s="1" t="s">
        <v>21</v>
      </c>
      <c r="B14">
        <f t="shared" si="0"/>
        <v>11</v>
      </c>
      <c r="C14">
        <v>5</v>
      </c>
      <c r="D14">
        <v>1</v>
      </c>
      <c r="E14">
        <v>0</v>
      </c>
      <c r="F14">
        <v>3</v>
      </c>
      <c r="G14">
        <v>1</v>
      </c>
      <c r="H14">
        <v>0</v>
      </c>
      <c r="I14">
        <v>1</v>
      </c>
    </row>
    <row r="15" spans="1:9" x14ac:dyDescent="0.3">
      <c r="A15" s="1" t="s">
        <v>1</v>
      </c>
      <c r="B15">
        <f>SUM(B2:B14)</f>
        <v>372</v>
      </c>
      <c r="C15">
        <f t="shared" ref="C15:I15" si="1">SUM(C2:C14)</f>
        <v>184</v>
      </c>
      <c r="D15">
        <f t="shared" si="1"/>
        <v>41</v>
      </c>
      <c r="E15">
        <f t="shared" si="1"/>
        <v>24</v>
      </c>
      <c r="F15">
        <f t="shared" si="1"/>
        <v>17</v>
      </c>
      <c r="G15">
        <f t="shared" si="1"/>
        <v>5</v>
      </c>
      <c r="H15">
        <f t="shared" si="1"/>
        <v>7</v>
      </c>
      <c r="I15">
        <f t="shared" si="1"/>
        <v>94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9F832-9001-4326-A090-06FDFACC142E}">
  <dimension ref="A1:I15"/>
  <sheetViews>
    <sheetView tabSelected="1" workbookViewId="0">
      <selection activeCell="E21" sqref="E21"/>
    </sheetView>
  </sheetViews>
  <sheetFormatPr defaultRowHeight="14.4" x14ac:dyDescent="0.3"/>
  <cols>
    <col min="2" max="2" width="14.5546875" customWidth="1"/>
    <col min="3" max="3" width="15.6640625" bestFit="1" customWidth="1"/>
    <col min="4" max="7" width="10.33203125" bestFit="1" customWidth="1"/>
    <col min="8" max="8" width="13.33203125" bestFit="1" customWidth="1"/>
  </cols>
  <sheetData>
    <row r="1" spans="1:9" x14ac:dyDescent="0.3">
      <c r="A1" t="s">
        <v>0</v>
      </c>
      <c r="B1" t="s">
        <v>22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s="1" t="s">
        <v>9</v>
      </c>
      <c r="B2">
        <f>SUM(C2:I2)</f>
        <v>39</v>
      </c>
      <c r="C2">
        <v>21</v>
      </c>
      <c r="D2">
        <v>5</v>
      </c>
      <c r="E2">
        <v>1</v>
      </c>
      <c r="F2">
        <v>8</v>
      </c>
      <c r="G2">
        <v>1</v>
      </c>
      <c r="H2">
        <v>2</v>
      </c>
      <c r="I2">
        <v>1</v>
      </c>
    </row>
    <row r="3" spans="1:9" x14ac:dyDescent="0.3">
      <c r="A3" s="1" t="s">
        <v>10</v>
      </c>
      <c r="B3">
        <f t="shared" ref="B3:B14" si="0">SUM(C3:I3)</f>
        <v>14</v>
      </c>
      <c r="C3">
        <v>8</v>
      </c>
      <c r="D3">
        <v>1</v>
      </c>
      <c r="E3">
        <v>3</v>
      </c>
      <c r="F3">
        <v>1</v>
      </c>
      <c r="G3">
        <v>0</v>
      </c>
      <c r="H3">
        <v>0</v>
      </c>
      <c r="I3">
        <v>1</v>
      </c>
    </row>
    <row r="4" spans="1:9" x14ac:dyDescent="0.3">
      <c r="A4" s="1" t="s">
        <v>11</v>
      </c>
      <c r="B4">
        <f t="shared" si="0"/>
        <v>28</v>
      </c>
      <c r="C4">
        <v>14</v>
      </c>
      <c r="D4">
        <v>0</v>
      </c>
      <c r="E4">
        <v>5</v>
      </c>
      <c r="F4">
        <v>2</v>
      </c>
      <c r="G4">
        <v>1</v>
      </c>
      <c r="H4">
        <v>3</v>
      </c>
      <c r="I4">
        <v>3</v>
      </c>
    </row>
    <row r="5" spans="1:9" x14ac:dyDescent="0.3">
      <c r="A5" s="1" t="s">
        <v>12</v>
      </c>
      <c r="B5">
        <f t="shared" si="0"/>
        <v>82</v>
      </c>
      <c r="C5">
        <v>55</v>
      </c>
      <c r="D5">
        <v>5</v>
      </c>
      <c r="E5">
        <v>8</v>
      </c>
      <c r="F5">
        <v>9</v>
      </c>
      <c r="G5">
        <v>2</v>
      </c>
      <c r="H5">
        <v>2</v>
      </c>
      <c r="I5">
        <v>1</v>
      </c>
    </row>
    <row r="6" spans="1:9" x14ac:dyDescent="0.3">
      <c r="A6" s="1" t="s">
        <v>13</v>
      </c>
      <c r="B6">
        <f t="shared" si="0"/>
        <v>44</v>
      </c>
      <c r="C6">
        <v>29</v>
      </c>
      <c r="D6">
        <v>2</v>
      </c>
      <c r="E6">
        <v>4</v>
      </c>
      <c r="F6">
        <v>1</v>
      </c>
      <c r="G6">
        <v>3</v>
      </c>
      <c r="H6">
        <v>2</v>
      </c>
      <c r="I6">
        <v>3</v>
      </c>
    </row>
    <row r="7" spans="1:9" x14ac:dyDescent="0.3">
      <c r="A7" s="1" t="s">
        <v>14</v>
      </c>
      <c r="B7">
        <f t="shared" si="0"/>
        <v>49</v>
      </c>
      <c r="C7">
        <v>27</v>
      </c>
      <c r="D7">
        <v>6</v>
      </c>
      <c r="E7">
        <v>8</v>
      </c>
      <c r="F7">
        <v>3</v>
      </c>
      <c r="G7">
        <v>2</v>
      </c>
      <c r="H7">
        <v>2</v>
      </c>
      <c r="I7">
        <v>1</v>
      </c>
    </row>
    <row r="8" spans="1:9" x14ac:dyDescent="0.3">
      <c r="A8" s="1" t="s">
        <v>15</v>
      </c>
      <c r="B8">
        <f t="shared" si="0"/>
        <v>17</v>
      </c>
      <c r="C8">
        <v>10</v>
      </c>
      <c r="D8">
        <v>2</v>
      </c>
      <c r="E8">
        <v>2</v>
      </c>
      <c r="F8">
        <v>0</v>
      </c>
      <c r="G8">
        <v>2</v>
      </c>
      <c r="H8">
        <v>0</v>
      </c>
      <c r="I8">
        <v>1</v>
      </c>
    </row>
    <row r="9" spans="1:9" x14ac:dyDescent="0.3">
      <c r="A9" s="1" t="s">
        <v>16</v>
      </c>
      <c r="B9">
        <f t="shared" si="0"/>
        <v>12</v>
      </c>
      <c r="C9">
        <v>3</v>
      </c>
      <c r="D9">
        <v>2</v>
      </c>
      <c r="E9">
        <v>5</v>
      </c>
      <c r="F9">
        <v>1</v>
      </c>
      <c r="G9">
        <v>0</v>
      </c>
      <c r="H9">
        <v>1</v>
      </c>
      <c r="I9">
        <v>0</v>
      </c>
    </row>
    <row r="10" spans="1:9" x14ac:dyDescent="0.3">
      <c r="A10" s="1" t="s">
        <v>17</v>
      </c>
      <c r="B10">
        <f t="shared" si="0"/>
        <v>12</v>
      </c>
      <c r="C10">
        <v>5</v>
      </c>
      <c r="D10">
        <v>0</v>
      </c>
      <c r="E10">
        <v>6</v>
      </c>
      <c r="F10">
        <v>0</v>
      </c>
      <c r="G10">
        <v>0</v>
      </c>
      <c r="H10">
        <v>1</v>
      </c>
      <c r="I10">
        <v>0</v>
      </c>
    </row>
    <row r="11" spans="1:9" x14ac:dyDescent="0.3">
      <c r="A11" s="1" t="s">
        <v>18</v>
      </c>
      <c r="B11">
        <f t="shared" si="0"/>
        <v>13</v>
      </c>
      <c r="C11">
        <v>8</v>
      </c>
      <c r="D11">
        <v>1</v>
      </c>
      <c r="E11">
        <v>0</v>
      </c>
      <c r="F11">
        <v>0</v>
      </c>
      <c r="G11">
        <v>2</v>
      </c>
      <c r="H11">
        <v>1</v>
      </c>
      <c r="I11">
        <v>1</v>
      </c>
    </row>
    <row r="12" spans="1:9" x14ac:dyDescent="0.3">
      <c r="A12" s="1" t="s">
        <v>19</v>
      </c>
      <c r="B12">
        <f t="shared" si="0"/>
        <v>22</v>
      </c>
      <c r="C12">
        <v>16</v>
      </c>
      <c r="D12">
        <v>1</v>
      </c>
      <c r="E12">
        <v>1</v>
      </c>
      <c r="F12">
        <v>2</v>
      </c>
      <c r="G12">
        <v>0</v>
      </c>
      <c r="H12">
        <v>2</v>
      </c>
      <c r="I12">
        <v>0</v>
      </c>
    </row>
    <row r="13" spans="1:9" x14ac:dyDescent="0.3">
      <c r="A13" s="1" t="s">
        <v>20</v>
      </c>
      <c r="B13">
        <f t="shared" si="0"/>
        <v>64</v>
      </c>
      <c r="C13">
        <v>14</v>
      </c>
      <c r="D13">
        <v>13</v>
      </c>
      <c r="E13">
        <v>12</v>
      </c>
      <c r="F13">
        <v>18</v>
      </c>
      <c r="G13">
        <v>3</v>
      </c>
      <c r="H13">
        <v>1</v>
      </c>
      <c r="I13">
        <v>3</v>
      </c>
    </row>
    <row r="14" spans="1:9" x14ac:dyDescent="0.3">
      <c r="A14" s="1" t="s">
        <v>21</v>
      </c>
      <c r="B14">
        <f t="shared" si="0"/>
        <v>9</v>
      </c>
      <c r="C14">
        <v>8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</row>
    <row r="15" spans="1:9" x14ac:dyDescent="0.3">
      <c r="A15" s="1" t="s">
        <v>1</v>
      </c>
      <c r="B15">
        <f>SUM(B2:B14)</f>
        <v>405</v>
      </c>
      <c r="C15">
        <f t="shared" ref="C15:I15" si="1">SUM(C2:C14)</f>
        <v>218</v>
      </c>
      <c r="D15">
        <f t="shared" si="1"/>
        <v>38</v>
      </c>
      <c r="E15">
        <f t="shared" si="1"/>
        <v>55</v>
      </c>
      <c r="F15">
        <f t="shared" si="1"/>
        <v>45</v>
      </c>
      <c r="G15">
        <f t="shared" si="1"/>
        <v>16</v>
      </c>
      <c r="H15">
        <f t="shared" si="1"/>
        <v>17</v>
      </c>
      <c r="I15">
        <f t="shared" si="1"/>
        <v>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2020-2021</vt:lpstr>
      <vt:lpstr>2021-2022</vt:lpstr>
      <vt:lpstr>2022-2023</vt:lpstr>
      <vt:lpstr>2023-2024</vt:lpstr>
      <vt:lpstr>2024-2025</vt:lpstr>
      <vt:lpstr>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Mariana Pagan Jimenez</dc:creator>
  <cp:lastModifiedBy>Genesis N. Perez Gonzalez</cp:lastModifiedBy>
  <dcterms:created xsi:type="dcterms:W3CDTF">2023-02-01T15:27:23Z</dcterms:created>
  <dcterms:modified xsi:type="dcterms:W3CDTF">2026-08-25T12:48:48Z</dcterms:modified>
</cp:coreProperties>
</file>