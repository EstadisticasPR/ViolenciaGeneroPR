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gnper\Documents\ViolenciaGeneroPR\data\Oficina_de_procuradora_de_mujeres\"/>
    </mc:Choice>
  </mc:AlternateContent>
  <xr:revisionPtr revIDLastSave="0" documentId="13_ncr:1_{66AD5157-0714-483D-9A2D-6BE5062C5E1F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1" l="1"/>
  <c r="F32" i="1"/>
  <c r="F33" i="1"/>
  <c r="F34" i="1"/>
  <c r="F37" i="1"/>
  <c r="G37" i="1" s="1"/>
  <c r="G36" i="1"/>
  <c r="F35" i="1"/>
  <c r="G35" i="1" s="1"/>
  <c r="G34" i="1"/>
  <c r="G3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<sst xmlns="http://schemas.openxmlformats.org/spreadsheetml/2006/main" count="7" uniqueCount="7">
  <si>
    <t>Año</t>
  </si>
  <si>
    <t>Asesinatos</t>
  </si>
  <si>
    <t>Tasa_OPM</t>
  </si>
  <si>
    <t>Tasa_IE</t>
  </si>
  <si>
    <t>POP_FEM</t>
  </si>
  <si>
    <t>POP_TOTAL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</si>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</sst>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3" fontId="4" fillId="0" borderId="0" xfId="2" applyNumberFormat="1" applyFont="1" applyAlignment="1" applyProtection="1">
      <alignment horizontal="right"/>
      <protection locked="0"/>
    </xf>
    <xf numFmtId="0" fontId="3" fillId="0" borderId="0" xfId="0" applyFont="1" applyAlignment="1">
      <alignment horizontal="center"/>
    </xf>
    <xf numFmtId="3" fontId="4" fillId="0" borderId="0" xfId="2" applyNumberFormat="1" applyFont="1" applyProtection="1">
      <protection locked="0"/>
    </xf>
    <xf numFmtId="1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1" applyNumberFormat="1" applyFont="1" applyBorder="1" applyAlignment="1">
      <alignment horizontal="right"/>
    </xf>
    <xf numFmtId="164" fontId="3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5" fontId="3" fillId="0" borderId="0" xfId="1" applyNumberFormat="1" applyFont="1" applyAlignment="1">
      <alignment horizontal="right"/>
    </xf>
  </cellXfs>
  <cellStyles count="3">
    <cellStyle name="Comma" xfId="1" builtinId="3"/>
    <cellStyle name="Normal" xfId="0" builtinId="0"/>
    <cellStyle name="Normal 2" xfId="2" xr:uid="{FE24B25C-E681-4A6F-8DB6-5F4198A4E8F6}"/>
  </cellStyles>
  <dxfs count="9"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64" formatCode="_(* #,##0.00_);_(* \(#,##0.0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65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C9E31-C370-4ADE-8057-A490A009DA21}" name="Table1" displayName="Table1" ref="A1:G37" totalsRowShown="0" headerRowDxfId="8" dataDxfId="7">
  <autoFilter ref="A1:G37" xr:uid="{D0AC9E31-C370-4ADE-8057-A490A009DA21}"/>
  <tableColumns count="7">
    <tableColumn id="1" xr3:uid="{4E633C29-01F9-4BB3-B2C3-5A220C104F5B}" name="Año" dataDxfId="6"/>
    <tableColumn id="2" xr3:uid="{B3049418-5001-4BD0-8583-9B4F513F7599}" name="Asesinatos" dataDxfId="5"/>
    <tableColumn id="3" xr3:uid="{9B711D79-0480-4B35-A8EA-B0F900C1253C}" name="Tasa_OPM" dataDxfId="4"/>
    <tableColumn id="4" xr3:uid="{AF77532D-0D89-44B1-A426-787A3602D79F}" name="POP_FEM" dataDxfId="3" dataCellStyle="Comma"/>
    <tableColumn id="5" xr3:uid="{E973A68F-B704-4A52-B733-D50963E00C35}" name="POP_TOTAL" dataDxfId="2" dataCellStyle="Comma"/>
    <tableColumn id="6" xr3:uid="{E3676515-7DF3-4AC8-8FEC-62A7FF07D7F8}" name="Tasa_IE" dataDxfId="1">
      <calculatedColumnFormula>B2/D2*100000</calculatedColumnFormula>
    </tableColumn>
    <tableColumn id="7" xr3:uid="{29E716FE-84A2-4808-966E-07A8C028DD02}" name="DIFF" dataDxfId="0">
      <calculatedColumnFormula>F2-C2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zoomScale="9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K38" sqref="K38"/>
    </sheetView>
  </sheetViews>
  <sheetFormatPr defaultColWidth="8.77734375" defaultRowHeight="14.4" x14ac:dyDescent="0.3"/>
  <cols>
    <col min="1" max="1" width="9.109375" bestFit="1" customWidth="1"/>
    <col min="2" max="2" width="20.6640625" customWidth="1"/>
    <col min="3" max="3" width="18.6640625" customWidth="1"/>
    <col min="4" max="4" width="22.109375" customWidth="1"/>
    <col min="5" max="5" width="20.33203125" customWidth="1"/>
    <col min="6" max="6" width="19.6640625" customWidth="1"/>
    <col min="7" max="7" width="7.109375" bestFit="1" customWidth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3</v>
      </c>
      <c r="G1" s="2" t="s">
        <v>6</v>
      </c>
    </row>
    <row r="2" spans="1:7" ht="15.6" x14ac:dyDescent="0.3">
      <c r="A2" s="4">
        <v>1990</v>
      </c>
      <c r="B2" s="5">
        <v>15</v>
      </c>
      <c r="C2" s="5">
        <v>0.81</v>
      </c>
      <c r="D2" s="6">
        <v>1819482</v>
      </c>
      <c r="E2" s="6">
        <v>3527593</v>
      </c>
      <c r="F2" s="7">
        <f>B2/D2*100000</f>
        <v>0.82441046407713836</v>
      </c>
      <c r="G2" s="8">
        <f t="shared" ref="G2:G36" si="0">F2-C2</f>
        <v>1.4410464077138307E-2</v>
      </c>
    </row>
    <row r="3" spans="1:7" ht="15.6" x14ac:dyDescent="0.3">
      <c r="A3" s="4">
        <v>1991</v>
      </c>
      <c r="B3" s="5">
        <v>32</v>
      </c>
      <c r="C3" s="5">
        <v>1.71</v>
      </c>
      <c r="D3" s="6">
        <v>1832190</v>
      </c>
      <c r="E3" s="6">
        <v>3550566</v>
      </c>
      <c r="F3" s="7">
        <f t="shared" ref="F3:F37" si="1">B3/D3*100000</f>
        <v>1.7465437536500035</v>
      </c>
      <c r="G3" s="8">
        <f t="shared" si="0"/>
        <v>3.6543753650003508E-2</v>
      </c>
    </row>
    <row r="4" spans="1:7" ht="15.6" x14ac:dyDescent="0.3">
      <c r="A4" s="4">
        <v>1992</v>
      </c>
      <c r="B4" s="5">
        <v>15</v>
      </c>
      <c r="C4" s="5">
        <v>0.8</v>
      </c>
      <c r="D4" s="6">
        <v>1845576</v>
      </c>
      <c r="E4" s="6">
        <v>3574772</v>
      </c>
      <c r="F4" s="7">
        <f t="shared" si="1"/>
        <v>0.8127543921247351</v>
      </c>
      <c r="G4" s="8">
        <f t="shared" si="0"/>
        <v>1.2754392124735059E-2</v>
      </c>
    </row>
    <row r="5" spans="1:7" ht="15.6" x14ac:dyDescent="0.3">
      <c r="A5" s="4">
        <v>1993</v>
      </c>
      <c r="B5" s="5">
        <v>28</v>
      </c>
      <c r="C5" s="5">
        <v>1.48</v>
      </c>
      <c r="D5" s="6">
        <v>1859673</v>
      </c>
      <c r="E5" s="6">
        <v>3600252</v>
      </c>
      <c r="F5" s="7">
        <f t="shared" si="1"/>
        <v>1.5056410454956328</v>
      </c>
      <c r="G5" s="8">
        <f t="shared" si="0"/>
        <v>2.5641045495632842E-2</v>
      </c>
    </row>
    <row r="6" spans="1:7" ht="15.6" x14ac:dyDescent="0.3">
      <c r="A6" s="4">
        <v>1994</v>
      </c>
      <c r="B6" s="5">
        <v>24</v>
      </c>
      <c r="C6" s="5">
        <v>1.26</v>
      </c>
      <c r="D6" s="6">
        <v>1874495</v>
      </c>
      <c r="E6" s="6">
        <v>3627048</v>
      </c>
      <c r="F6" s="7">
        <f t="shared" si="1"/>
        <v>1.2803448395434505</v>
      </c>
      <c r="G6" s="8">
        <f t="shared" si="0"/>
        <v>2.0344839543450455E-2</v>
      </c>
    </row>
    <row r="7" spans="1:7" ht="15.6" x14ac:dyDescent="0.3">
      <c r="A7" s="4">
        <v>1995</v>
      </c>
      <c r="B7" s="5">
        <v>31</v>
      </c>
      <c r="C7" s="5">
        <v>1.62</v>
      </c>
      <c r="D7" s="6">
        <v>1890070</v>
      </c>
      <c r="E7" s="6">
        <v>3655194</v>
      </c>
      <c r="F7" s="7">
        <f t="shared" si="1"/>
        <v>1.6401508938822371</v>
      </c>
      <c r="G7" s="8">
        <f t="shared" si="0"/>
        <v>2.0150893882237009E-2</v>
      </c>
    </row>
    <row r="8" spans="1:7" ht="15.6" x14ac:dyDescent="0.3">
      <c r="A8" s="4">
        <v>1996</v>
      </c>
      <c r="B8" s="5">
        <v>34</v>
      </c>
      <c r="C8" s="5">
        <v>1.77</v>
      </c>
      <c r="D8" s="6">
        <v>1906419</v>
      </c>
      <c r="E8" s="6">
        <v>3684739</v>
      </c>
      <c r="F8" s="7">
        <f t="shared" si="1"/>
        <v>1.7834484444395486</v>
      </c>
      <c r="G8" s="8">
        <f t="shared" si="0"/>
        <v>1.3448444439548624E-2</v>
      </c>
    </row>
    <row r="9" spans="1:7" ht="15.6" x14ac:dyDescent="0.3">
      <c r="A9" s="4">
        <v>1997</v>
      </c>
      <c r="B9" s="5">
        <v>27</v>
      </c>
      <c r="C9" s="5">
        <v>1.39</v>
      </c>
      <c r="D9" s="6">
        <v>1923587</v>
      </c>
      <c r="E9" s="6">
        <v>3715726</v>
      </c>
      <c r="F9" s="7">
        <f t="shared" si="1"/>
        <v>1.4036277017883776</v>
      </c>
      <c r="G9" s="8">
        <f t="shared" si="0"/>
        <v>1.3627701788377689E-2</v>
      </c>
    </row>
    <row r="10" spans="1:7" ht="15.6" x14ac:dyDescent="0.3">
      <c r="A10" s="4">
        <v>1998</v>
      </c>
      <c r="B10" s="5">
        <v>29</v>
      </c>
      <c r="C10" s="5">
        <v>1.49</v>
      </c>
      <c r="D10" s="6">
        <v>1941546</v>
      </c>
      <c r="E10" s="6">
        <v>3748150</v>
      </c>
      <c r="F10" s="7">
        <f t="shared" si="1"/>
        <v>1.4936550563313977</v>
      </c>
      <c r="G10" s="8">
        <f t="shared" si="0"/>
        <v>3.6550563313977324E-3</v>
      </c>
    </row>
    <row r="11" spans="1:7" ht="15.6" x14ac:dyDescent="0.3">
      <c r="A11" s="4">
        <v>1999</v>
      </c>
      <c r="B11" s="5">
        <v>27</v>
      </c>
      <c r="C11" s="5">
        <v>1.37</v>
      </c>
      <c r="D11" s="6">
        <v>1960371</v>
      </c>
      <c r="E11" s="6">
        <v>3782143</v>
      </c>
      <c r="F11" s="7">
        <f t="shared" si="1"/>
        <v>1.3772903190263477</v>
      </c>
      <c r="G11" s="8">
        <f t="shared" si="0"/>
        <v>7.2903190263475803E-3</v>
      </c>
    </row>
    <row r="12" spans="1:7" ht="15.6" x14ac:dyDescent="0.3">
      <c r="A12" s="4">
        <v>2000</v>
      </c>
      <c r="B12" s="5">
        <v>25</v>
      </c>
      <c r="C12" s="5">
        <v>1.27</v>
      </c>
      <c r="D12" s="6">
        <v>1976369</v>
      </c>
      <c r="E12" s="6">
        <v>3810605</v>
      </c>
      <c r="F12" s="7">
        <f t="shared" si="1"/>
        <v>1.2649459690978759</v>
      </c>
      <c r="G12" s="8">
        <f t="shared" si="0"/>
        <v>-5.0540309021240848E-3</v>
      </c>
    </row>
    <row r="13" spans="1:7" ht="15.6" x14ac:dyDescent="0.3">
      <c r="A13" s="4">
        <v>2001</v>
      </c>
      <c r="B13" s="5">
        <v>18</v>
      </c>
      <c r="C13" s="5">
        <v>0.91</v>
      </c>
      <c r="D13" s="6">
        <v>1981732</v>
      </c>
      <c r="E13" s="6">
        <v>3818774</v>
      </c>
      <c r="F13" s="7">
        <f t="shared" si="1"/>
        <v>0.9082963791269455</v>
      </c>
      <c r="G13" s="8">
        <f t="shared" si="0"/>
        <v>-1.7036208730545344E-3</v>
      </c>
    </row>
    <row r="14" spans="1:7" ht="15.6" x14ac:dyDescent="0.3">
      <c r="A14" s="4">
        <v>2002</v>
      </c>
      <c r="B14" s="5">
        <v>15</v>
      </c>
      <c r="C14" s="5">
        <v>0.76</v>
      </c>
      <c r="D14" s="6">
        <v>1985211</v>
      </c>
      <c r="E14" s="6">
        <v>3823701</v>
      </c>
      <c r="F14" s="7">
        <f t="shared" si="1"/>
        <v>0.75558718947255477</v>
      </c>
      <c r="G14" s="8">
        <f t="shared" si="0"/>
        <v>-4.4128105274452434E-3</v>
      </c>
    </row>
    <row r="15" spans="1:7" ht="15.6" x14ac:dyDescent="0.3">
      <c r="A15" s="4">
        <v>2003</v>
      </c>
      <c r="B15" s="5">
        <v>24</v>
      </c>
      <c r="C15" s="5">
        <v>1.21</v>
      </c>
      <c r="D15" s="6">
        <v>1987364</v>
      </c>
      <c r="E15" s="6">
        <v>3826095</v>
      </c>
      <c r="F15" s="7">
        <f t="shared" si="1"/>
        <v>1.2076298051086765</v>
      </c>
      <c r="G15" s="8">
        <f t="shared" si="0"/>
        <v>-2.3701948913235071E-3</v>
      </c>
    </row>
    <row r="16" spans="1:7" ht="15.6" x14ac:dyDescent="0.3">
      <c r="A16" s="4">
        <v>2004</v>
      </c>
      <c r="B16" s="5">
        <v>31</v>
      </c>
      <c r="C16" s="5">
        <v>1.56</v>
      </c>
      <c r="D16" s="6">
        <v>1988594</v>
      </c>
      <c r="E16" s="6">
        <v>3826878</v>
      </c>
      <c r="F16" s="7">
        <f t="shared" si="1"/>
        <v>1.5588903516756059</v>
      </c>
      <c r="G16" s="8">
        <f t="shared" si="0"/>
        <v>-1.1096483243941968E-3</v>
      </c>
    </row>
    <row r="17" spans="1:7" ht="15.6" x14ac:dyDescent="0.3">
      <c r="A17" s="4">
        <v>2005</v>
      </c>
      <c r="B17" s="5">
        <v>21</v>
      </c>
      <c r="C17" s="5">
        <v>1.06</v>
      </c>
      <c r="D17" s="6">
        <v>1986644</v>
      </c>
      <c r="E17" s="6">
        <v>3821362</v>
      </c>
      <c r="F17" s="7">
        <f t="shared" si="1"/>
        <v>1.0570590402709292</v>
      </c>
      <c r="G17" s="8">
        <f t="shared" si="0"/>
        <v>-2.9409597290708245E-3</v>
      </c>
    </row>
    <row r="18" spans="1:7" ht="15.6" x14ac:dyDescent="0.3">
      <c r="A18" s="4">
        <v>2006</v>
      </c>
      <c r="B18" s="5">
        <v>23</v>
      </c>
      <c r="C18" s="5">
        <v>1.1599999999999999</v>
      </c>
      <c r="D18" s="6">
        <v>1979256</v>
      </c>
      <c r="E18" s="6">
        <v>3805214</v>
      </c>
      <c r="F18" s="7">
        <f t="shared" si="1"/>
        <v>1.1620528117636122</v>
      </c>
      <c r="G18" s="8">
        <f t="shared" si="0"/>
        <v>2.0528117636122722E-3</v>
      </c>
    </row>
    <row r="19" spans="1:7" ht="15.6" x14ac:dyDescent="0.3">
      <c r="A19" s="4">
        <v>2007</v>
      </c>
      <c r="B19" s="5">
        <v>15</v>
      </c>
      <c r="C19" s="5">
        <v>0.76</v>
      </c>
      <c r="D19" s="6">
        <v>1968707</v>
      </c>
      <c r="E19" s="6">
        <v>3782995</v>
      </c>
      <c r="F19" s="7">
        <f t="shared" si="1"/>
        <v>0.76192140323572788</v>
      </c>
      <c r="G19" s="8">
        <f t="shared" si="0"/>
        <v>1.9214032357278699E-3</v>
      </c>
    </row>
    <row r="20" spans="1:7" ht="15.6" x14ac:dyDescent="0.3">
      <c r="A20" s="4">
        <v>2008</v>
      </c>
      <c r="B20" s="5">
        <v>26</v>
      </c>
      <c r="C20" s="5">
        <v>1.33</v>
      </c>
      <c r="D20" s="6">
        <v>1957525</v>
      </c>
      <c r="E20" s="6">
        <v>3760866</v>
      </c>
      <c r="F20" s="7">
        <f t="shared" si="1"/>
        <v>1.3282078134378872</v>
      </c>
      <c r="G20" s="8">
        <f t="shared" si="0"/>
        <v>-1.7921865621128852E-3</v>
      </c>
    </row>
    <row r="21" spans="1:7" ht="15.6" x14ac:dyDescent="0.3">
      <c r="A21" s="4">
        <v>2009</v>
      </c>
      <c r="B21" s="5">
        <v>16</v>
      </c>
      <c r="C21" s="5">
        <v>0.82</v>
      </c>
      <c r="D21" s="6">
        <v>1947361</v>
      </c>
      <c r="E21" s="6">
        <v>3740410</v>
      </c>
      <c r="F21" s="7">
        <f t="shared" si="1"/>
        <v>0.82162475267811164</v>
      </c>
      <c r="G21" s="8">
        <f t="shared" si="0"/>
        <v>1.624752678111685E-3</v>
      </c>
    </row>
    <row r="22" spans="1:7" ht="15.6" x14ac:dyDescent="0.3">
      <c r="A22" s="4">
        <v>2010</v>
      </c>
      <c r="B22" s="5">
        <v>15</v>
      </c>
      <c r="C22" s="5">
        <v>0.77</v>
      </c>
      <c r="D22" s="6">
        <v>1938743</v>
      </c>
      <c r="E22" s="6">
        <v>3721525</v>
      </c>
      <c r="F22" s="7">
        <f t="shared" si="1"/>
        <v>0.77369718420646783</v>
      </c>
      <c r="G22" s="8">
        <f t="shared" si="0"/>
        <v>3.6971842064678073E-3</v>
      </c>
    </row>
    <row r="23" spans="1:7" ht="15.6" x14ac:dyDescent="0.3">
      <c r="A23" s="4">
        <v>2011</v>
      </c>
      <c r="B23" s="5">
        <v>25</v>
      </c>
      <c r="C23" s="5">
        <v>1.31</v>
      </c>
      <c r="D23" s="6">
        <v>1915291</v>
      </c>
      <c r="E23" s="6">
        <v>3678732</v>
      </c>
      <c r="F23" s="7">
        <f t="shared" si="1"/>
        <v>1.3052846799781339</v>
      </c>
      <c r="G23" s="8">
        <f t="shared" si="0"/>
        <v>-4.7153200218661429E-3</v>
      </c>
    </row>
    <row r="24" spans="1:7" ht="15.6" x14ac:dyDescent="0.3">
      <c r="A24" s="4">
        <v>2012</v>
      </c>
      <c r="B24" s="5">
        <v>18</v>
      </c>
      <c r="C24" s="5">
        <v>0.95</v>
      </c>
      <c r="D24" s="6">
        <v>1895416</v>
      </c>
      <c r="E24" s="6">
        <v>3634488</v>
      </c>
      <c r="F24" s="7">
        <f t="shared" si="1"/>
        <v>0.94965959979234116</v>
      </c>
      <c r="G24" s="8">
        <f t="shared" si="0"/>
        <v>-3.4040020765879753E-4</v>
      </c>
    </row>
    <row r="25" spans="1:7" ht="15.6" x14ac:dyDescent="0.3">
      <c r="A25" s="4">
        <v>2013</v>
      </c>
      <c r="B25" s="5">
        <v>17</v>
      </c>
      <c r="C25" s="5">
        <v>0.91</v>
      </c>
      <c r="D25" s="6">
        <v>1872797</v>
      </c>
      <c r="E25" s="6">
        <v>3593077</v>
      </c>
      <c r="F25" s="7">
        <f t="shared" si="1"/>
        <v>0.9077331926524872</v>
      </c>
      <c r="G25" s="8">
        <f t="shared" si="0"/>
        <v>-2.2668073475128336E-3</v>
      </c>
    </row>
    <row r="26" spans="1:7" ht="15.6" x14ac:dyDescent="0.3">
      <c r="A26" s="4">
        <v>2014</v>
      </c>
      <c r="B26" s="5">
        <v>16</v>
      </c>
      <c r="C26" s="5">
        <v>0.87</v>
      </c>
      <c r="D26" s="6">
        <v>1845988</v>
      </c>
      <c r="E26" s="6">
        <v>3534874</v>
      </c>
      <c r="F26" s="7">
        <f t="shared" si="1"/>
        <v>0.86674452921687462</v>
      </c>
      <c r="G26" s="8">
        <f t="shared" si="0"/>
        <v>-3.2554707831253804E-3</v>
      </c>
    </row>
    <row r="27" spans="1:7" ht="15.6" x14ac:dyDescent="0.3">
      <c r="A27" s="4">
        <v>2015</v>
      </c>
      <c r="B27" s="5">
        <v>9</v>
      </c>
      <c r="C27" s="5">
        <v>0.5</v>
      </c>
      <c r="D27" s="6">
        <v>1816871</v>
      </c>
      <c r="E27" s="6">
        <v>3473232</v>
      </c>
      <c r="F27" s="7">
        <f t="shared" si="1"/>
        <v>0.49535712772123064</v>
      </c>
      <c r="G27" s="8">
        <f t="shared" si="0"/>
        <v>-4.642872278769361E-3</v>
      </c>
    </row>
    <row r="28" spans="1:7" ht="15.6" x14ac:dyDescent="0.3">
      <c r="A28" s="4">
        <v>2016</v>
      </c>
      <c r="B28" s="5">
        <v>8</v>
      </c>
      <c r="C28" s="5">
        <v>0.45</v>
      </c>
      <c r="D28" s="6">
        <v>1786406</v>
      </c>
      <c r="E28" s="6">
        <v>3406672</v>
      </c>
      <c r="F28" s="7">
        <f t="shared" si="1"/>
        <v>0.44782652991537197</v>
      </c>
      <c r="G28" s="8">
        <f t="shared" si="0"/>
        <v>-2.1734700846280375E-3</v>
      </c>
    </row>
    <row r="29" spans="1:7" ht="15.6" x14ac:dyDescent="0.3">
      <c r="A29" s="4">
        <v>2017</v>
      </c>
      <c r="B29" s="5">
        <v>11</v>
      </c>
      <c r="C29" s="5">
        <v>0.63</v>
      </c>
      <c r="D29" s="6">
        <v>1744504</v>
      </c>
      <c r="E29" s="6">
        <v>3325286</v>
      </c>
      <c r="F29" s="7">
        <f t="shared" si="1"/>
        <v>0.63055172129155335</v>
      </c>
      <c r="G29" s="8">
        <f t="shared" si="0"/>
        <v>5.5172129155334204E-4</v>
      </c>
    </row>
    <row r="30" spans="1:7" ht="15.6" x14ac:dyDescent="0.3">
      <c r="A30" s="4">
        <v>2018</v>
      </c>
      <c r="B30" s="5">
        <v>23</v>
      </c>
      <c r="C30" s="5">
        <v>1.37</v>
      </c>
      <c r="D30" s="6">
        <v>1676342</v>
      </c>
      <c r="E30" s="6">
        <v>3193354</v>
      </c>
      <c r="F30" s="7">
        <f t="shared" si="1"/>
        <v>1.3720350620577424</v>
      </c>
      <c r="G30" s="8">
        <f t="shared" si="0"/>
        <v>2.0350620577422873E-3</v>
      </c>
    </row>
    <row r="31" spans="1:7" ht="15.6" x14ac:dyDescent="0.3">
      <c r="A31" s="4">
        <v>2019</v>
      </c>
      <c r="B31" s="5">
        <v>10</v>
      </c>
      <c r="C31" s="5">
        <v>0.6</v>
      </c>
      <c r="D31" s="6">
        <v>1677973</v>
      </c>
      <c r="E31" s="6">
        <v>3193694</v>
      </c>
      <c r="F31" s="7">
        <f t="shared" si="1"/>
        <v>0.59595714591355164</v>
      </c>
      <c r="G31" s="8">
        <f t="shared" si="0"/>
        <v>-4.0428540864483331E-3</v>
      </c>
    </row>
    <row r="32" spans="1:7" ht="15.6" x14ac:dyDescent="0.3">
      <c r="A32" s="4">
        <v>2020</v>
      </c>
      <c r="B32" s="5">
        <v>11</v>
      </c>
      <c r="C32" s="5">
        <v>0.64</v>
      </c>
      <c r="D32" s="6">
        <v>1726492</v>
      </c>
      <c r="E32" s="6">
        <v>3281557</v>
      </c>
      <c r="F32" s="7">
        <f>B32/D32*100000</f>
        <v>0.63713008806296234</v>
      </c>
      <c r="G32" s="8">
        <f t="shared" si="0"/>
        <v>-2.8699119370376724E-3</v>
      </c>
    </row>
    <row r="33" spans="1:7" ht="15.6" x14ac:dyDescent="0.3">
      <c r="A33" s="4">
        <v>2021</v>
      </c>
      <c r="B33" s="5">
        <v>21</v>
      </c>
      <c r="C33" s="5">
        <v>0.69</v>
      </c>
      <c r="D33" s="6">
        <v>1722149</v>
      </c>
      <c r="E33" s="6">
        <v>3262731</v>
      </c>
      <c r="F33" s="7">
        <f>B33/D33*100000</f>
        <v>1.2194066831615615</v>
      </c>
      <c r="G33" s="8">
        <f t="shared" si="0"/>
        <v>0.52940668316156159</v>
      </c>
    </row>
    <row r="34" spans="1:7" ht="15.6" x14ac:dyDescent="0.3">
      <c r="A34" s="4">
        <v>2022</v>
      </c>
      <c r="B34" s="5">
        <v>17</v>
      </c>
      <c r="C34" s="5"/>
      <c r="D34" s="6">
        <v>1702078</v>
      </c>
      <c r="E34" s="6">
        <v>3220148</v>
      </c>
      <c r="F34" s="7">
        <f>B34/D34*100000</f>
        <v>0.99877913938139151</v>
      </c>
      <c r="G34" s="8">
        <f t="shared" si="0"/>
        <v>0.99877913938139151</v>
      </c>
    </row>
    <row r="35" spans="1:7" ht="15.6" x14ac:dyDescent="0.3">
      <c r="A35" s="4">
        <v>2023</v>
      </c>
      <c r="B35" s="5">
        <v>29</v>
      </c>
      <c r="C35" s="5"/>
      <c r="D35" s="6">
        <v>1694807</v>
      </c>
      <c r="E35" s="6">
        <v>3203794</v>
      </c>
      <c r="F35" s="7">
        <f>B35/D35*100000</f>
        <v>1.7111092885502597</v>
      </c>
      <c r="G35" s="8">
        <f t="shared" si="0"/>
        <v>1.7111092885502597</v>
      </c>
    </row>
    <row r="36" spans="1:7" ht="15.6" x14ac:dyDescent="0.3">
      <c r="A36" s="4">
        <v>2024</v>
      </c>
      <c r="B36" s="5">
        <v>28</v>
      </c>
      <c r="C36" s="5"/>
      <c r="D36" s="1">
        <v>1694107</v>
      </c>
      <c r="E36" s="3">
        <v>3202521</v>
      </c>
      <c r="F36" s="7">
        <f>B36/D36*100000</f>
        <v>1.6527881650922875</v>
      </c>
      <c r="G36" s="8">
        <f t="shared" si="0"/>
        <v>1.6527881650922875</v>
      </c>
    </row>
    <row r="37" spans="1:7" ht="15.6" x14ac:dyDescent="0.3">
      <c r="A37" s="4">
        <v>2025</v>
      </c>
      <c r="B37" s="5">
        <v>21</v>
      </c>
      <c r="C37" s="5"/>
      <c r="D37" s="9">
        <v>1686080</v>
      </c>
      <c r="E37" s="9">
        <v>3184835</v>
      </c>
      <c r="F37" s="7">
        <f>B37/D37*100000</f>
        <v>1.2454925033213133</v>
      </c>
      <c r="G37" s="8">
        <f>F37-C37</f>
        <v>1.2454925033213133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Genesis N. Perez Gonzalez</cp:lastModifiedBy>
  <dcterms:created xsi:type="dcterms:W3CDTF">2025-10-01T15:25:34Z</dcterms:created>
  <dcterms:modified xsi:type="dcterms:W3CDTF">2026-08-12T16:54:27Z</dcterms:modified>
</cp:coreProperties>
</file>