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nper\Documents\ViolenciaGeneroPR\data\Negociado_de_Policia\"/>
    </mc:Choice>
  </mc:AlternateContent>
  <xr:revisionPtr revIDLastSave="0" documentId="13_ncr:1_{21BCB29C-E4E5-4813-AF67-3FC340FB8519}" xr6:coauthVersionLast="47" xr6:coauthVersionMax="47" xr10:uidLastSave="{00000000-0000-0000-0000-000000000000}"/>
  <bookViews>
    <workbookView xWindow="-96" yWindow="0" windowWidth="11712" windowHeight="13056" firstSheet="2" activeTab="5" xr2:uid="{00000000-000D-0000-FFFF-FFFF00000000}"/>
  </bookViews>
  <sheets>
    <sheet name="2021" sheetId="2" r:id="rId1"/>
    <sheet name="2022" sheetId="3" r:id="rId2"/>
    <sheet name="2023" sheetId="4" r:id="rId3"/>
    <sheet name="2024" sheetId="5" r:id="rId4"/>
    <sheet name="2025" sheetId="6" r:id="rId5"/>
    <sheet name="2026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B2" i="6"/>
  <c r="E2" i="6" s="1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E15" i="6"/>
  <c r="E14" i="6"/>
  <c r="E13" i="6"/>
  <c r="E12" i="6"/>
  <c r="E11" i="6"/>
  <c r="E10" i="6"/>
  <c r="E9" i="6"/>
  <c r="E8" i="6"/>
  <c r="E7" i="6"/>
  <c r="E6" i="6"/>
  <c r="E5" i="6"/>
  <c r="E4" i="6"/>
  <c r="E3" i="6"/>
  <c r="C2" i="5"/>
  <c r="B2" i="5"/>
  <c r="E3" i="4"/>
  <c r="E4" i="4"/>
  <c r="E5" i="4"/>
  <c r="E6" i="4"/>
  <c r="E7" i="4"/>
  <c r="E8" i="4"/>
  <c r="E9" i="4"/>
  <c r="E10" i="4"/>
  <c r="E11" i="4"/>
  <c r="E12" i="4"/>
  <c r="E13" i="4"/>
  <c r="E14" i="4"/>
  <c r="E15" i="4"/>
  <c r="E2" i="4"/>
  <c r="E3" i="3"/>
  <c r="E4" i="3"/>
  <c r="E5" i="3"/>
  <c r="E6" i="3"/>
  <c r="E7" i="3"/>
  <c r="E8" i="3"/>
  <c r="E9" i="3"/>
  <c r="E10" i="3"/>
  <c r="E11" i="3"/>
  <c r="E12" i="3"/>
  <c r="E13" i="3"/>
  <c r="E14" i="3"/>
  <c r="E15" i="3"/>
  <c r="E2" i="3"/>
  <c r="B3" i="2"/>
  <c r="B4" i="2"/>
  <c r="B5" i="2"/>
  <c r="B6" i="2"/>
  <c r="B7" i="2"/>
  <c r="B8" i="2"/>
  <c r="B9" i="2"/>
  <c r="B10" i="2"/>
  <c r="B11" i="2"/>
  <c r="B12" i="2"/>
  <c r="B13" i="2"/>
  <c r="B14" i="2"/>
  <c r="B15" i="2"/>
  <c r="B2" i="2"/>
  <c r="E2" i="5" l="1"/>
  <c r="E15" i="5"/>
  <c r="E14" i="5"/>
  <c r="E13" i="5"/>
  <c r="E12" i="5"/>
  <c r="E11" i="5"/>
  <c r="E10" i="5"/>
  <c r="E9" i="5"/>
  <c r="E8" i="5"/>
  <c r="E7" i="5"/>
  <c r="E6" i="5"/>
  <c r="E5" i="5"/>
  <c r="E4" i="5"/>
  <c r="E3" i="5"/>
</calcChain>
</file>

<file path=xl/sharedStrings.xml><?xml version="1.0" encoding="utf-8"?>
<sst xmlns="http://schemas.openxmlformats.org/spreadsheetml/2006/main" count="114" uniqueCount="19">
  <si>
    <t>Desconocida</t>
  </si>
  <si>
    <t>65 o más</t>
  </si>
  <si>
    <t>60-64</t>
  </si>
  <si>
    <t>55-59</t>
  </si>
  <si>
    <t>50-54</t>
  </si>
  <si>
    <t>45-49</t>
  </si>
  <si>
    <t>40-44</t>
  </si>
  <si>
    <t>35-39</t>
  </si>
  <si>
    <t>30-34</t>
  </si>
  <si>
    <t>25-29</t>
  </si>
  <si>
    <t>20-24</t>
  </si>
  <si>
    <t>18-19</t>
  </si>
  <si>
    <t>16-17</t>
  </si>
  <si>
    <t>&lt; 16</t>
  </si>
  <si>
    <t>Desconocido</t>
  </si>
  <si>
    <t>Masculino</t>
  </si>
  <si>
    <t>Cantidad de mujeres víctimas</t>
  </si>
  <si>
    <t>Total</t>
  </si>
  <si>
    <t>Grupos de Edad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</si>
</sst>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xfId="0"/>
    <xf numFmtId="0" fontId="1" fillId="0" borderId="0" xfId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workbookViewId="0">
      <selection activeCell="E21" sqref="E21"/>
    </sheetView>
  </sheetViews>
  <sheetFormatPr defaultRowHeight="14.4" x14ac:dyDescent="0.3"/>
  <cols>
    <col min="1" max="1" width="41.6640625" customWidth="1"/>
  </cols>
  <sheetData>
    <row r="1" spans="1:5" x14ac:dyDescent="0.3">
      <c r="A1" t="s">
        <v>18</v>
      </c>
      <c r="B1" t="s">
        <v>17</v>
      </c>
      <c r="C1" t="s">
        <v>16</v>
      </c>
      <c r="D1" t="s">
        <v>15</v>
      </c>
      <c r="E1" t="s">
        <v>14</v>
      </c>
    </row>
    <row r="2" spans="1:5" x14ac:dyDescent="0.3">
      <c r="A2" t="s">
        <v>13</v>
      </c>
      <c r="B2">
        <f>SUM(C2:E2)</f>
        <v>11</v>
      </c>
      <c r="C2">
        <v>10</v>
      </c>
      <c r="D2">
        <v>1</v>
      </c>
      <c r="E2">
        <v>0</v>
      </c>
    </row>
    <row r="3" spans="1:5" x14ac:dyDescent="0.3">
      <c r="A3" t="s">
        <v>12</v>
      </c>
      <c r="B3">
        <f t="shared" ref="B3:B15" si="0">SUM(C3:E3)</f>
        <v>44</v>
      </c>
      <c r="C3">
        <v>40</v>
      </c>
      <c r="D3">
        <v>4</v>
      </c>
      <c r="E3">
        <v>0</v>
      </c>
    </row>
    <row r="4" spans="1:5" x14ac:dyDescent="0.3">
      <c r="A4" t="s">
        <v>11</v>
      </c>
      <c r="B4">
        <f t="shared" si="0"/>
        <v>194</v>
      </c>
      <c r="C4">
        <v>180</v>
      </c>
      <c r="D4">
        <v>14</v>
      </c>
      <c r="E4">
        <v>0</v>
      </c>
    </row>
    <row r="5" spans="1:5" x14ac:dyDescent="0.3">
      <c r="A5" t="s">
        <v>10</v>
      </c>
      <c r="B5">
        <f t="shared" si="0"/>
        <v>1086</v>
      </c>
      <c r="C5">
        <v>963</v>
      </c>
      <c r="D5">
        <v>123</v>
      </c>
      <c r="E5">
        <v>0</v>
      </c>
    </row>
    <row r="6" spans="1:5" x14ac:dyDescent="0.3">
      <c r="A6" t="s">
        <v>9</v>
      </c>
      <c r="B6">
        <f t="shared" si="0"/>
        <v>1361</v>
      </c>
      <c r="C6">
        <v>1180</v>
      </c>
      <c r="D6">
        <v>181</v>
      </c>
      <c r="E6">
        <v>0</v>
      </c>
    </row>
    <row r="7" spans="1:5" x14ac:dyDescent="0.3">
      <c r="A7" t="s">
        <v>8</v>
      </c>
      <c r="B7">
        <f t="shared" si="0"/>
        <v>1221</v>
      </c>
      <c r="C7">
        <v>1031</v>
      </c>
      <c r="D7">
        <v>190</v>
      </c>
      <c r="E7">
        <v>0</v>
      </c>
    </row>
    <row r="8" spans="1:5" x14ac:dyDescent="0.3">
      <c r="A8" t="s">
        <v>7</v>
      </c>
      <c r="B8">
        <f t="shared" si="0"/>
        <v>942</v>
      </c>
      <c r="C8">
        <v>769</v>
      </c>
      <c r="D8">
        <v>173</v>
      </c>
      <c r="E8">
        <v>0</v>
      </c>
    </row>
    <row r="9" spans="1:5" x14ac:dyDescent="0.3">
      <c r="A9" t="s">
        <v>6</v>
      </c>
      <c r="B9">
        <f t="shared" si="0"/>
        <v>759</v>
      </c>
      <c r="C9">
        <v>633</v>
      </c>
      <c r="D9">
        <v>126</v>
      </c>
      <c r="E9">
        <v>0</v>
      </c>
    </row>
    <row r="10" spans="1:5" x14ac:dyDescent="0.3">
      <c r="A10" t="s">
        <v>5</v>
      </c>
      <c r="B10">
        <f t="shared" si="0"/>
        <v>514</v>
      </c>
      <c r="C10">
        <v>412</v>
      </c>
      <c r="D10">
        <v>102</v>
      </c>
      <c r="E10">
        <v>0</v>
      </c>
    </row>
    <row r="11" spans="1:5" x14ac:dyDescent="0.3">
      <c r="A11" t="s">
        <v>4</v>
      </c>
      <c r="B11">
        <f t="shared" si="0"/>
        <v>334</v>
      </c>
      <c r="C11">
        <v>259</v>
      </c>
      <c r="D11">
        <v>75</v>
      </c>
      <c r="E11">
        <v>0</v>
      </c>
    </row>
    <row r="12" spans="1:5" x14ac:dyDescent="0.3">
      <c r="A12" t="s">
        <v>3</v>
      </c>
      <c r="B12">
        <f t="shared" si="0"/>
        <v>217</v>
      </c>
      <c r="C12">
        <v>173</v>
      </c>
      <c r="D12">
        <v>44</v>
      </c>
      <c r="E12">
        <v>0</v>
      </c>
    </row>
    <row r="13" spans="1:5" x14ac:dyDescent="0.3">
      <c r="A13" t="s">
        <v>2</v>
      </c>
      <c r="B13">
        <f t="shared" si="0"/>
        <v>144</v>
      </c>
      <c r="C13">
        <v>110</v>
      </c>
      <c r="D13">
        <v>34</v>
      </c>
      <c r="E13">
        <v>0</v>
      </c>
    </row>
    <row r="14" spans="1:5" x14ac:dyDescent="0.3">
      <c r="A14" t="s">
        <v>1</v>
      </c>
      <c r="B14">
        <f t="shared" si="0"/>
        <v>169</v>
      </c>
      <c r="C14">
        <v>134</v>
      </c>
      <c r="D14">
        <v>35</v>
      </c>
      <c r="E14">
        <v>0</v>
      </c>
    </row>
    <row r="15" spans="1:5" x14ac:dyDescent="0.3">
      <c r="A15" t="s">
        <v>0</v>
      </c>
      <c r="B15">
        <f t="shared" si="0"/>
        <v>35</v>
      </c>
      <c r="C15">
        <v>26</v>
      </c>
      <c r="D15">
        <v>9</v>
      </c>
      <c r="E15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"/>
  <sheetViews>
    <sheetView workbookViewId="0">
      <selection activeCell="E18" sqref="E18"/>
    </sheetView>
  </sheetViews>
  <sheetFormatPr defaultColWidth="9.109375" defaultRowHeight="14.4" x14ac:dyDescent="0.3"/>
  <cols>
    <col min="1" max="1" width="58.44140625" style="1" customWidth="1"/>
    <col min="2" max="3" width="13.44140625" style="1" customWidth="1"/>
    <col min="4" max="4" width="14.5546875" style="1" customWidth="1"/>
    <col min="5" max="5" width="11.88671875" style="1" customWidth="1"/>
    <col min="6" max="16384" width="9.109375" style="1"/>
  </cols>
  <sheetData>
    <row r="1" spans="1:5" x14ac:dyDescent="0.3">
      <c r="A1" s="1" t="s">
        <v>18</v>
      </c>
      <c r="B1" s="1" t="s">
        <v>16</v>
      </c>
      <c r="C1" s="1" t="s">
        <v>15</v>
      </c>
      <c r="D1" s="1" t="s">
        <v>14</v>
      </c>
      <c r="E1" s="1" t="s">
        <v>17</v>
      </c>
    </row>
    <row r="2" spans="1:5" x14ac:dyDescent="0.3">
      <c r="A2" s="1" t="s">
        <v>13</v>
      </c>
      <c r="B2" s="1">
        <v>7</v>
      </c>
      <c r="C2" s="1">
        <v>0</v>
      </c>
      <c r="D2" s="1">
        <v>0</v>
      </c>
      <c r="E2" s="1">
        <f>SUM(B2:D2)</f>
        <v>7</v>
      </c>
    </row>
    <row r="3" spans="1:5" x14ac:dyDescent="0.3">
      <c r="A3" s="1" t="s">
        <v>12</v>
      </c>
      <c r="B3" s="1">
        <v>61</v>
      </c>
      <c r="C3" s="1">
        <v>2</v>
      </c>
      <c r="D3" s="1">
        <v>0</v>
      </c>
      <c r="E3" s="1">
        <f t="shared" ref="E3:E15" si="0">SUM(B3:D3)</f>
        <v>63</v>
      </c>
    </row>
    <row r="4" spans="1:5" x14ac:dyDescent="0.3">
      <c r="A4" s="1" t="s">
        <v>11</v>
      </c>
      <c r="B4" s="1">
        <v>95</v>
      </c>
      <c r="C4" s="1">
        <v>8</v>
      </c>
      <c r="D4" s="1">
        <v>0</v>
      </c>
      <c r="E4" s="1">
        <f t="shared" si="0"/>
        <v>103</v>
      </c>
    </row>
    <row r="5" spans="1:5" x14ac:dyDescent="0.3">
      <c r="A5" s="1" t="s">
        <v>10</v>
      </c>
      <c r="B5" s="1">
        <v>792</v>
      </c>
      <c r="C5" s="1">
        <v>112</v>
      </c>
      <c r="D5" s="1">
        <v>0</v>
      </c>
      <c r="E5" s="1">
        <f t="shared" si="0"/>
        <v>904</v>
      </c>
    </row>
    <row r="6" spans="1:5" x14ac:dyDescent="0.3">
      <c r="A6" s="1" t="s">
        <v>9</v>
      </c>
      <c r="B6" s="1">
        <v>985</v>
      </c>
      <c r="C6" s="1">
        <v>150</v>
      </c>
      <c r="D6" s="1">
        <v>0</v>
      </c>
      <c r="E6" s="1">
        <f t="shared" si="0"/>
        <v>1135</v>
      </c>
    </row>
    <row r="7" spans="1:5" x14ac:dyDescent="0.3">
      <c r="A7" s="1" t="s">
        <v>8</v>
      </c>
      <c r="B7" s="1">
        <v>872</v>
      </c>
      <c r="C7" s="1">
        <v>150</v>
      </c>
      <c r="D7" s="1">
        <v>0</v>
      </c>
      <c r="E7" s="1">
        <f t="shared" si="0"/>
        <v>1022</v>
      </c>
    </row>
    <row r="8" spans="1:5" x14ac:dyDescent="0.3">
      <c r="A8" s="1" t="s">
        <v>7</v>
      </c>
      <c r="B8" s="1">
        <v>615</v>
      </c>
      <c r="C8" s="1">
        <v>127</v>
      </c>
      <c r="D8" s="1">
        <v>0</v>
      </c>
      <c r="E8" s="1">
        <f t="shared" si="0"/>
        <v>742</v>
      </c>
    </row>
    <row r="9" spans="1:5" x14ac:dyDescent="0.3">
      <c r="A9" s="1" t="s">
        <v>6</v>
      </c>
      <c r="B9" s="1">
        <v>473</v>
      </c>
      <c r="C9" s="1">
        <v>125</v>
      </c>
      <c r="D9" s="1">
        <v>0</v>
      </c>
      <c r="E9" s="1">
        <f t="shared" si="0"/>
        <v>598</v>
      </c>
    </row>
    <row r="10" spans="1:5" x14ac:dyDescent="0.3">
      <c r="A10" s="1" t="s">
        <v>5</v>
      </c>
      <c r="B10" s="1">
        <v>361</v>
      </c>
      <c r="C10" s="1">
        <v>103</v>
      </c>
      <c r="D10" s="1">
        <v>1</v>
      </c>
      <c r="E10" s="1">
        <f t="shared" si="0"/>
        <v>465</v>
      </c>
    </row>
    <row r="11" spans="1:5" x14ac:dyDescent="0.3">
      <c r="A11" s="1" t="s">
        <v>4</v>
      </c>
      <c r="B11" s="1">
        <v>216</v>
      </c>
      <c r="C11" s="1">
        <v>67</v>
      </c>
      <c r="D11" s="1">
        <v>0</v>
      </c>
      <c r="E11" s="1">
        <f t="shared" si="0"/>
        <v>283</v>
      </c>
    </row>
    <row r="12" spans="1:5" x14ac:dyDescent="0.3">
      <c r="A12" s="1" t="s">
        <v>3</v>
      </c>
      <c r="B12" s="1">
        <v>194</v>
      </c>
      <c r="C12" s="1">
        <v>41</v>
      </c>
      <c r="D12" s="1">
        <v>0</v>
      </c>
      <c r="E12" s="1">
        <f t="shared" si="0"/>
        <v>235</v>
      </c>
    </row>
    <row r="13" spans="1:5" x14ac:dyDescent="0.3">
      <c r="A13" s="1" t="s">
        <v>2</v>
      </c>
      <c r="B13" s="1">
        <v>85</v>
      </c>
      <c r="C13" s="1">
        <v>25</v>
      </c>
      <c r="D13" s="1">
        <v>0</v>
      </c>
      <c r="E13" s="1">
        <f t="shared" si="0"/>
        <v>110</v>
      </c>
    </row>
    <row r="14" spans="1:5" x14ac:dyDescent="0.3">
      <c r="A14" s="1" t="s">
        <v>1</v>
      </c>
      <c r="B14" s="1">
        <v>213</v>
      </c>
      <c r="C14" s="1">
        <v>39</v>
      </c>
      <c r="D14" s="1">
        <v>0</v>
      </c>
      <c r="E14" s="1">
        <f t="shared" si="0"/>
        <v>252</v>
      </c>
    </row>
    <row r="15" spans="1:5" x14ac:dyDescent="0.3">
      <c r="A15" s="1" t="s">
        <v>0</v>
      </c>
      <c r="B15" s="1">
        <v>43</v>
      </c>
      <c r="C15" s="1">
        <v>9</v>
      </c>
      <c r="D15" s="1">
        <v>9</v>
      </c>
      <c r="E15" s="1">
        <f t="shared" si="0"/>
        <v>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5"/>
  <sheetViews>
    <sheetView workbookViewId="0">
      <selection activeCell="F20" sqref="F20"/>
    </sheetView>
  </sheetViews>
  <sheetFormatPr defaultColWidth="9.109375" defaultRowHeight="14.4" x14ac:dyDescent="0.3"/>
  <cols>
    <col min="1" max="1" width="15.6640625" style="1" customWidth="1"/>
    <col min="2" max="2" width="27.44140625" style="1" bestFit="1" customWidth="1"/>
    <col min="3" max="3" width="10" style="1" bestFit="1" customWidth="1"/>
    <col min="4" max="4" width="12.33203125" style="1" bestFit="1" customWidth="1"/>
    <col min="5" max="16384" width="9.109375" style="1"/>
  </cols>
  <sheetData>
    <row r="1" spans="1:5" x14ac:dyDescent="0.3">
      <c r="A1" s="1" t="s">
        <v>18</v>
      </c>
      <c r="B1" s="1" t="s">
        <v>16</v>
      </c>
      <c r="C1" s="1" t="s">
        <v>15</v>
      </c>
      <c r="D1" s="1" t="s">
        <v>14</v>
      </c>
      <c r="E1" s="1" t="s">
        <v>17</v>
      </c>
    </row>
    <row r="2" spans="1:5" x14ac:dyDescent="0.3">
      <c r="A2" s="1" t="s">
        <v>13</v>
      </c>
      <c r="B2" s="1">
        <v>18</v>
      </c>
      <c r="C2" s="1">
        <v>4</v>
      </c>
      <c r="D2" s="1">
        <v>0</v>
      </c>
      <c r="E2" s="1">
        <f>SUM(B2:D2)</f>
        <v>22</v>
      </c>
    </row>
    <row r="3" spans="1:5" x14ac:dyDescent="0.3">
      <c r="A3" s="1" t="s">
        <v>12</v>
      </c>
      <c r="B3" s="1">
        <v>57</v>
      </c>
      <c r="C3" s="1">
        <v>3</v>
      </c>
      <c r="D3" s="1">
        <v>0</v>
      </c>
      <c r="E3" s="1">
        <f t="shared" ref="E3:E15" si="0">SUM(B3:D3)</f>
        <v>60</v>
      </c>
    </row>
    <row r="4" spans="1:5" x14ac:dyDescent="0.3">
      <c r="A4" s="1" t="s">
        <v>11</v>
      </c>
      <c r="B4" s="1">
        <v>169</v>
      </c>
      <c r="C4" s="1">
        <v>18</v>
      </c>
      <c r="D4" s="1">
        <v>0</v>
      </c>
      <c r="E4" s="1">
        <f t="shared" si="0"/>
        <v>187</v>
      </c>
    </row>
    <row r="5" spans="1:5" x14ac:dyDescent="0.3">
      <c r="A5" s="1" t="s">
        <v>10</v>
      </c>
      <c r="B5" s="1">
        <v>955</v>
      </c>
      <c r="C5" s="1">
        <v>140</v>
      </c>
      <c r="D5" s="1">
        <v>0</v>
      </c>
      <c r="E5" s="1">
        <f t="shared" si="0"/>
        <v>1095</v>
      </c>
    </row>
    <row r="6" spans="1:5" x14ac:dyDescent="0.3">
      <c r="A6" s="1" t="s">
        <v>9</v>
      </c>
      <c r="B6" s="1">
        <v>1179</v>
      </c>
      <c r="C6" s="1">
        <v>218</v>
      </c>
      <c r="D6" s="1">
        <v>0</v>
      </c>
      <c r="E6" s="1">
        <f t="shared" si="0"/>
        <v>1397</v>
      </c>
    </row>
    <row r="7" spans="1:5" x14ac:dyDescent="0.3">
      <c r="A7" s="1" t="s">
        <v>8</v>
      </c>
      <c r="B7" s="1">
        <v>1099</v>
      </c>
      <c r="C7" s="1">
        <v>205</v>
      </c>
      <c r="D7" s="1">
        <v>0</v>
      </c>
      <c r="E7" s="1">
        <f t="shared" si="0"/>
        <v>1304</v>
      </c>
    </row>
    <row r="8" spans="1:5" x14ac:dyDescent="0.3">
      <c r="A8" s="1" t="s">
        <v>7</v>
      </c>
      <c r="B8" s="1">
        <v>866</v>
      </c>
      <c r="C8" s="1">
        <v>208</v>
      </c>
      <c r="D8" s="1">
        <v>0</v>
      </c>
      <c r="E8" s="1">
        <f t="shared" si="0"/>
        <v>1074</v>
      </c>
    </row>
    <row r="9" spans="1:5" x14ac:dyDescent="0.3">
      <c r="A9" s="1" t="s">
        <v>6</v>
      </c>
      <c r="B9" s="1">
        <v>680</v>
      </c>
      <c r="C9" s="1">
        <v>168</v>
      </c>
      <c r="D9" s="1">
        <v>0</v>
      </c>
      <c r="E9" s="1">
        <f t="shared" si="0"/>
        <v>848</v>
      </c>
    </row>
    <row r="10" spans="1:5" x14ac:dyDescent="0.3">
      <c r="A10" s="1" t="s">
        <v>5</v>
      </c>
      <c r="B10" s="1">
        <v>519</v>
      </c>
      <c r="C10" s="1">
        <v>127</v>
      </c>
      <c r="D10" s="1">
        <v>0</v>
      </c>
      <c r="E10" s="1">
        <f t="shared" si="0"/>
        <v>646</v>
      </c>
    </row>
    <row r="11" spans="1:5" x14ac:dyDescent="0.3">
      <c r="A11" s="1" t="s">
        <v>4</v>
      </c>
      <c r="B11" s="1">
        <v>311</v>
      </c>
      <c r="C11" s="1">
        <v>88</v>
      </c>
      <c r="D11" s="1">
        <v>0</v>
      </c>
      <c r="E11" s="1">
        <f t="shared" si="0"/>
        <v>399</v>
      </c>
    </row>
    <row r="12" spans="1:5" x14ac:dyDescent="0.3">
      <c r="A12" s="1" t="s">
        <v>3</v>
      </c>
      <c r="B12" s="1">
        <v>189</v>
      </c>
      <c r="C12" s="1">
        <v>73</v>
      </c>
      <c r="D12" s="1">
        <v>0</v>
      </c>
      <c r="E12" s="1">
        <f t="shared" si="0"/>
        <v>262</v>
      </c>
    </row>
    <row r="13" spans="1:5" x14ac:dyDescent="0.3">
      <c r="A13" s="1" t="s">
        <v>2</v>
      </c>
      <c r="B13" s="1">
        <v>109</v>
      </c>
      <c r="C13" s="1">
        <v>58</v>
      </c>
      <c r="D13" s="1">
        <v>0</v>
      </c>
      <c r="E13" s="1">
        <f t="shared" si="0"/>
        <v>167</v>
      </c>
    </row>
    <row r="14" spans="1:5" x14ac:dyDescent="0.3">
      <c r="A14" s="1" t="s">
        <v>1</v>
      </c>
      <c r="B14" s="1">
        <v>168</v>
      </c>
      <c r="C14" s="1">
        <v>56</v>
      </c>
      <c r="D14" s="1">
        <v>0</v>
      </c>
      <c r="E14" s="1">
        <f t="shared" si="0"/>
        <v>224</v>
      </c>
    </row>
    <row r="15" spans="1:5" x14ac:dyDescent="0.3">
      <c r="A15" s="1" t="s">
        <v>0</v>
      </c>
      <c r="B15" s="1">
        <v>0</v>
      </c>
      <c r="C15" s="1">
        <v>0</v>
      </c>
      <c r="D15" s="1">
        <v>0</v>
      </c>
      <c r="E15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5"/>
  <sheetViews>
    <sheetView workbookViewId="0">
      <selection activeCell="G13" sqref="G13"/>
    </sheetView>
  </sheetViews>
  <sheetFormatPr defaultColWidth="9.109375" defaultRowHeight="14.4" x14ac:dyDescent="0.3"/>
  <cols>
    <col min="1" max="1" width="15.6640625" style="1" customWidth="1"/>
    <col min="2" max="2" width="27.44140625" style="1" bestFit="1" customWidth="1"/>
    <col min="3" max="3" width="11.5546875" style="1" customWidth="1"/>
    <col min="4" max="4" width="12.88671875" style="1" customWidth="1"/>
    <col min="5" max="16384" width="9.109375" style="1"/>
  </cols>
  <sheetData>
    <row r="1" spans="1:5" x14ac:dyDescent="0.3">
      <c r="A1" s="1" t="s">
        <v>18</v>
      </c>
      <c r="B1" s="1" t="s">
        <v>16</v>
      </c>
      <c r="C1" s="1" t="s">
        <v>15</v>
      </c>
      <c r="D1" s="1" t="s">
        <v>14</v>
      </c>
      <c r="E1" s="1" t="s">
        <v>17</v>
      </c>
    </row>
    <row r="2" spans="1:5" x14ac:dyDescent="0.3">
      <c r="A2" s="1" t="s">
        <v>13</v>
      </c>
      <c r="B2" s="1">
        <f>2+17</f>
        <v>19</v>
      </c>
      <c r="C2" s="1">
        <f>0+0</f>
        <v>0</v>
      </c>
      <c r="D2" s="1">
        <v>0</v>
      </c>
      <c r="E2" s="1">
        <f t="shared" ref="E2:E15" si="0">SUM(B2:D2)</f>
        <v>19</v>
      </c>
    </row>
    <row r="3" spans="1:5" x14ac:dyDescent="0.3">
      <c r="A3" s="1" t="s">
        <v>12</v>
      </c>
      <c r="B3" s="1">
        <v>55</v>
      </c>
      <c r="C3" s="1">
        <v>8</v>
      </c>
      <c r="D3" s="1">
        <v>0</v>
      </c>
      <c r="E3" s="1">
        <f t="shared" si="0"/>
        <v>63</v>
      </c>
    </row>
    <row r="4" spans="1:5" x14ac:dyDescent="0.3">
      <c r="A4" s="1" t="s">
        <v>11</v>
      </c>
      <c r="B4" s="1">
        <v>182</v>
      </c>
      <c r="C4" s="1">
        <v>18</v>
      </c>
      <c r="D4" s="1">
        <v>0</v>
      </c>
      <c r="E4" s="1">
        <f t="shared" si="0"/>
        <v>200</v>
      </c>
    </row>
    <row r="5" spans="1:5" x14ac:dyDescent="0.3">
      <c r="A5" s="1" t="s">
        <v>10</v>
      </c>
      <c r="B5" s="1">
        <v>1101</v>
      </c>
      <c r="C5" s="1">
        <v>171</v>
      </c>
      <c r="D5" s="1">
        <v>0</v>
      </c>
      <c r="E5" s="1">
        <f t="shared" si="0"/>
        <v>1272</v>
      </c>
    </row>
    <row r="6" spans="1:5" x14ac:dyDescent="0.3">
      <c r="A6" s="1" t="s">
        <v>9</v>
      </c>
      <c r="B6" s="1">
        <v>1499</v>
      </c>
      <c r="C6" s="1">
        <v>279</v>
      </c>
      <c r="D6" s="1">
        <v>0</v>
      </c>
      <c r="E6" s="1">
        <f t="shared" si="0"/>
        <v>1778</v>
      </c>
    </row>
    <row r="7" spans="1:5" x14ac:dyDescent="0.3">
      <c r="A7" s="1" t="s">
        <v>8</v>
      </c>
      <c r="B7" s="1">
        <v>1366</v>
      </c>
      <c r="C7" s="1">
        <v>268</v>
      </c>
      <c r="D7" s="1">
        <v>1</v>
      </c>
      <c r="E7" s="1">
        <f t="shared" si="0"/>
        <v>1635</v>
      </c>
    </row>
    <row r="8" spans="1:5" x14ac:dyDescent="0.3">
      <c r="A8" s="1" t="s">
        <v>7</v>
      </c>
      <c r="B8" s="1">
        <v>1062</v>
      </c>
      <c r="C8" s="1">
        <v>272</v>
      </c>
      <c r="D8" s="1">
        <v>2</v>
      </c>
      <c r="E8" s="1">
        <f t="shared" si="0"/>
        <v>1336</v>
      </c>
    </row>
    <row r="9" spans="1:5" x14ac:dyDescent="0.3">
      <c r="A9" s="1" t="s">
        <v>6</v>
      </c>
      <c r="B9" s="1">
        <v>862</v>
      </c>
      <c r="C9" s="1">
        <v>174</v>
      </c>
      <c r="D9" s="1">
        <v>1</v>
      </c>
      <c r="E9" s="1">
        <f t="shared" si="0"/>
        <v>1037</v>
      </c>
    </row>
    <row r="10" spans="1:5" x14ac:dyDescent="0.3">
      <c r="A10" s="1" t="s">
        <v>5</v>
      </c>
      <c r="B10" s="1">
        <v>602</v>
      </c>
      <c r="C10" s="1">
        <v>168</v>
      </c>
      <c r="D10" s="1">
        <v>0</v>
      </c>
      <c r="E10" s="1">
        <f t="shared" si="0"/>
        <v>770</v>
      </c>
    </row>
    <row r="11" spans="1:5" x14ac:dyDescent="0.3">
      <c r="A11" s="1" t="s">
        <v>4</v>
      </c>
      <c r="B11" s="1">
        <v>418</v>
      </c>
      <c r="C11" s="1">
        <v>99</v>
      </c>
      <c r="D11" s="1">
        <v>0</v>
      </c>
      <c r="E11" s="1">
        <f t="shared" si="0"/>
        <v>517</v>
      </c>
    </row>
    <row r="12" spans="1:5" x14ac:dyDescent="0.3">
      <c r="A12" s="1" t="s">
        <v>3</v>
      </c>
      <c r="B12" s="1">
        <v>274</v>
      </c>
      <c r="C12" s="1">
        <v>89</v>
      </c>
      <c r="D12" s="1">
        <v>0</v>
      </c>
      <c r="E12" s="1">
        <f t="shared" si="0"/>
        <v>363</v>
      </c>
    </row>
    <row r="13" spans="1:5" x14ac:dyDescent="0.3">
      <c r="A13" s="1" t="s">
        <v>2</v>
      </c>
      <c r="B13" s="1">
        <v>180</v>
      </c>
      <c r="C13" s="1">
        <v>62</v>
      </c>
      <c r="D13" s="1">
        <v>0</v>
      </c>
      <c r="E13" s="1">
        <f t="shared" si="0"/>
        <v>242</v>
      </c>
    </row>
    <row r="14" spans="1:5" x14ac:dyDescent="0.3">
      <c r="A14" s="1" t="s">
        <v>1</v>
      </c>
      <c r="B14" s="1">
        <v>204</v>
      </c>
      <c r="C14" s="1">
        <v>83</v>
      </c>
      <c r="D14" s="1">
        <v>0</v>
      </c>
      <c r="E14" s="1">
        <f t="shared" si="0"/>
        <v>287</v>
      </c>
    </row>
    <row r="15" spans="1:5" x14ac:dyDescent="0.3">
      <c r="A15" s="1" t="s">
        <v>0</v>
      </c>
      <c r="B15" s="1">
        <v>1</v>
      </c>
      <c r="C15" s="1">
        <v>0</v>
      </c>
      <c r="D15" s="1">
        <v>0</v>
      </c>
      <c r="E15" s="1">
        <f t="shared" si="0"/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B097A-1CA8-4290-8FD4-94F2A1DA342E}">
  <dimension ref="A1:E15"/>
  <sheetViews>
    <sheetView workbookViewId="0">
      <selection activeCell="B2" sqref="B2:D15"/>
    </sheetView>
  </sheetViews>
  <sheetFormatPr defaultColWidth="9.109375" defaultRowHeight="14.4" x14ac:dyDescent="0.3"/>
  <cols>
    <col min="1" max="1" width="15.6640625" style="1" customWidth="1"/>
    <col min="2" max="2" width="27.44140625" style="1" bestFit="1" customWidth="1"/>
    <col min="3" max="3" width="11.5546875" style="1" customWidth="1"/>
    <col min="4" max="4" width="12.88671875" style="1" customWidth="1"/>
    <col min="5" max="16384" width="9.109375" style="1"/>
  </cols>
  <sheetData>
    <row r="1" spans="1:5" x14ac:dyDescent="0.3">
      <c r="A1" s="1" t="s">
        <v>18</v>
      </c>
      <c r="B1" s="1" t="s">
        <v>16</v>
      </c>
      <c r="C1" s="1" t="s">
        <v>15</v>
      </c>
      <c r="D1" s="1" t="s">
        <v>14</v>
      </c>
      <c r="E1" s="1" t="s">
        <v>17</v>
      </c>
    </row>
    <row r="2" spans="1:5" x14ac:dyDescent="0.3">
      <c r="A2" s="1" t="s">
        <v>13</v>
      </c>
      <c r="B2" s="1">
        <f>3+14</f>
        <v>17</v>
      </c>
      <c r="C2" s="1">
        <f>0+1</f>
        <v>1</v>
      </c>
      <c r="D2" s="1">
        <v>0</v>
      </c>
      <c r="E2" s="1">
        <f t="shared" ref="E2:E15" si="0">SUM(B2:D2)</f>
        <v>18</v>
      </c>
    </row>
    <row r="3" spans="1:5" x14ac:dyDescent="0.3">
      <c r="A3" s="1" t="s">
        <v>12</v>
      </c>
      <c r="B3" s="1">
        <v>50</v>
      </c>
      <c r="C3" s="1">
        <v>12</v>
      </c>
      <c r="D3" s="1">
        <v>0</v>
      </c>
      <c r="E3" s="1">
        <f t="shared" si="0"/>
        <v>62</v>
      </c>
    </row>
    <row r="4" spans="1:5" x14ac:dyDescent="0.3">
      <c r="A4" s="1" t="s">
        <v>11</v>
      </c>
      <c r="B4" s="1">
        <v>185</v>
      </c>
      <c r="C4" s="1">
        <v>17</v>
      </c>
      <c r="D4" s="1">
        <v>2</v>
      </c>
      <c r="E4" s="1">
        <f t="shared" si="0"/>
        <v>204</v>
      </c>
    </row>
    <row r="5" spans="1:5" x14ac:dyDescent="0.3">
      <c r="A5" s="1" t="s">
        <v>10</v>
      </c>
      <c r="B5" s="1">
        <v>962</v>
      </c>
      <c r="C5" s="1">
        <v>170</v>
      </c>
      <c r="D5" s="1">
        <v>3</v>
      </c>
      <c r="E5" s="1">
        <f t="shared" si="0"/>
        <v>1135</v>
      </c>
    </row>
    <row r="6" spans="1:5" x14ac:dyDescent="0.3">
      <c r="A6" s="1" t="s">
        <v>9</v>
      </c>
      <c r="B6" s="1">
        <v>1277</v>
      </c>
      <c r="C6" s="1">
        <v>239</v>
      </c>
      <c r="D6" s="1">
        <v>1</v>
      </c>
      <c r="E6" s="1">
        <f t="shared" si="0"/>
        <v>1517</v>
      </c>
    </row>
    <row r="7" spans="1:5" x14ac:dyDescent="0.3">
      <c r="A7" s="1" t="s">
        <v>8</v>
      </c>
      <c r="B7" s="1">
        <v>1257</v>
      </c>
      <c r="C7" s="1">
        <v>271</v>
      </c>
      <c r="D7" s="1">
        <v>1</v>
      </c>
      <c r="E7" s="1">
        <f t="shared" si="0"/>
        <v>1529</v>
      </c>
    </row>
    <row r="8" spans="1:5" x14ac:dyDescent="0.3">
      <c r="A8" s="1" t="s">
        <v>7</v>
      </c>
      <c r="B8" s="1">
        <v>980</v>
      </c>
      <c r="C8" s="1">
        <v>239</v>
      </c>
      <c r="D8" s="1">
        <v>0</v>
      </c>
      <c r="E8" s="1">
        <f t="shared" si="0"/>
        <v>1219</v>
      </c>
    </row>
    <row r="9" spans="1:5" x14ac:dyDescent="0.3">
      <c r="A9" s="1" t="s">
        <v>6</v>
      </c>
      <c r="B9" s="1">
        <v>758</v>
      </c>
      <c r="C9" s="1">
        <v>178</v>
      </c>
      <c r="D9" s="1">
        <v>3</v>
      </c>
      <c r="E9" s="1">
        <f t="shared" si="0"/>
        <v>939</v>
      </c>
    </row>
    <row r="10" spans="1:5" x14ac:dyDescent="0.3">
      <c r="A10" s="1" t="s">
        <v>5</v>
      </c>
      <c r="B10" s="1">
        <v>566</v>
      </c>
      <c r="C10" s="1">
        <v>156</v>
      </c>
      <c r="D10" s="1">
        <v>1</v>
      </c>
      <c r="E10" s="1">
        <f t="shared" si="0"/>
        <v>723</v>
      </c>
    </row>
    <row r="11" spans="1:5" x14ac:dyDescent="0.3">
      <c r="A11" s="1" t="s">
        <v>4</v>
      </c>
      <c r="B11" s="1">
        <v>369</v>
      </c>
      <c r="C11" s="1">
        <v>112</v>
      </c>
      <c r="D11" s="1">
        <v>1</v>
      </c>
      <c r="E11" s="1">
        <f t="shared" si="0"/>
        <v>482</v>
      </c>
    </row>
    <row r="12" spans="1:5" x14ac:dyDescent="0.3">
      <c r="A12" s="1" t="s">
        <v>3</v>
      </c>
      <c r="B12" s="1">
        <v>205</v>
      </c>
      <c r="C12" s="1">
        <v>84</v>
      </c>
      <c r="D12" s="1">
        <v>0</v>
      </c>
      <c r="E12" s="1">
        <f t="shared" si="0"/>
        <v>289</v>
      </c>
    </row>
    <row r="13" spans="1:5" x14ac:dyDescent="0.3">
      <c r="A13" s="1" t="s">
        <v>2</v>
      </c>
      <c r="B13" s="1">
        <v>134</v>
      </c>
      <c r="C13" s="1">
        <v>60</v>
      </c>
      <c r="D13" s="1">
        <v>1</v>
      </c>
      <c r="E13" s="1">
        <f t="shared" si="0"/>
        <v>195</v>
      </c>
    </row>
    <row r="14" spans="1:5" x14ac:dyDescent="0.3">
      <c r="A14" s="1" t="s">
        <v>1</v>
      </c>
      <c r="B14" s="1">
        <v>198</v>
      </c>
      <c r="C14" s="1">
        <v>84</v>
      </c>
      <c r="D14" s="1">
        <v>0</v>
      </c>
      <c r="E14" s="1">
        <f t="shared" si="0"/>
        <v>282</v>
      </c>
    </row>
    <row r="15" spans="1:5" x14ac:dyDescent="0.3">
      <c r="A15" s="1" t="s">
        <v>0</v>
      </c>
      <c r="B15" s="1">
        <v>1</v>
      </c>
      <c r="C15" s="1">
        <v>0</v>
      </c>
      <c r="D15" s="1">
        <v>0</v>
      </c>
      <c r="E15" s="1">
        <f t="shared" si="0"/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DE649-C3E4-4870-A377-EDA19EBF3F40}">
  <dimension ref="A1:E15"/>
  <sheetViews>
    <sheetView tabSelected="1" workbookViewId="0">
      <selection activeCell="D19" sqref="D19"/>
    </sheetView>
  </sheetViews>
  <sheetFormatPr defaultColWidth="9.109375" defaultRowHeight="14.4" x14ac:dyDescent="0.3"/>
  <cols>
    <col min="1" max="1" width="15.6640625" style="1" customWidth="1"/>
    <col min="2" max="2" width="27.44140625" style="1" bestFit="1" customWidth="1"/>
    <col min="3" max="3" width="11.5546875" style="1" customWidth="1"/>
    <col min="4" max="4" width="12.88671875" style="1" customWidth="1"/>
    <col min="5" max="16384" width="9.109375" style="1"/>
  </cols>
  <sheetData>
    <row r="1" spans="1:5" x14ac:dyDescent="0.3">
      <c r="A1" s="1" t="s">
        <v>18</v>
      </c>
      <c r="B1" s="1" t="s">
        <v>16</v>
      </c>
      <c r="C1" s="1" t="s">
        <v>15</v>
      </c>
      <c r="D1" s="1" t="s">
        <v>14</v>
      </c>
      <c r="E1" s="1" t="s">
        <v>17</v>
      </c>
    </row>
    <row r="2" spans="1:5" x14ac:dyDescent="0.3">
      <c r="A2" s="1" t="s">
        <v>13</v>
      </c>
      <c r="B2" s="1">
        <v>4</v>
      </c>
      <c r="C2" s="1">
        <v>1</v>
      </c>
      <c r="D2" s="1">
        <v>0</v>
      </c>
      <c r="E2" s="1">
        <f t="shared" ref="E2:E15" si="0">SUM(B2:D2)</f>
        <v>5</v>
      </c>
    </row>
    <row r="3" spans="1:5" x14ac:dyDescent="0.3">
      <c r="A3" s="1" t="s">
        <v>12</v>
      </c>
      <c r="B3" s="1">
        <v>12</v>
      </c>
      <c r="C3" s="1">
        <v>2</v>
      </c>
      <c r="D3" s="1">
        <v>0</v>
      </c>
      <c r="E3" s="1">
        <f t="shared" si="0"/>
        <v>14</v>
      </c>
    </row>
    <row r="4" spans="1:5" x14ac:dyDescent="0.3">
      <c r="A4" s="1" t="s">
        <v>11</v>
      </c>
      <c r="B4" s="1">
        <v>48</v>
      </c>
      <c r="C4" s="1">
        <v>11</v>
      </c>
      <c r="D4" s="1">
        <v>0</v>
      </c>
      <c r="E4" s="1">
        <f t="shared" si="0"/>
        <v>59</v>
      </c>
    </row>
    <row r="5" spans="1:5" x14ac:dyDescent="0.3">
      <c r="A5" s="1" t="s">
        <v>10</v>
      </c>
      <c r="B5" s="1">
        <v>234</v>
      </c>
      <c r="C5" s="1">
        <v>48</v>
      </c>
      <c r="D5" s="1">
        <v>0</v>
      </c>
      <c r="E5" s="1">
        <f t="shared" si="0"/>
        <v>282</v>
      </c>
    </row>
    <row r="6" spans="1:5" x14ac:dyDescent="0.3">
      <c r="A6" s="1" t="s">
        <v>9</v>
      </c>
      <c r="B6" s="1">
        <v>373</v>
      </c>
      <c r="C6" s="1">
        <v>67</v>
      </c>
      <c r="D6" s="1">
        <v>1</v>
      </c>
      <c r="E6" s="1">
        <f t="shared" si="0"/>
        <v>441</v>
      </c>
    </row>
    <row r="7" spans="1:5" x14ac:dyDescent="0.3">
      <c r="A7" s="1" t="s">
        <v>8</v>
      </c>
      <c r="B7" s="1">
        <v>347</v>
      </c>
      <c r="C7" s="1">
        <v>67</v>
      </c>
      <c r="D7" s="1">
        <v>4</v>
      </c>
      <c r="E7" s="1">
        <f t="shared" si="0"/>
        <v>418</v>
      </c>
    </row>
    <row r="8" spans="1:5" x14ac:dyDescent="0.3">
      <c r="A8" s="1" t="s">
        <v>7</v>
      </c>
      <c r="B8" s="1">
        <v>259</v>
      </c>
      <c r="C8" s="1">
        <v>62</v>
      </c>
      <c r="D8" s="1">
        <v>0</v>
      </c>
      <c r="E8" s="1">
        <f t="shared" si="0"/>
        <v>321</v>
      </c>
    </row>
    <row r="9" spans="1:5" x14ac:dyDescent="0.3">
      <c r="A9" s="1" t="s">
        <v>6</v>
      </c>
      <c r="B9" s="1">
        <v>215</v>
      </c>
      <c r="C9" s="1">
        <v>69</v>
      </c>
      <c r="D9" s="1">
        <v>2</v>
      </c>
      <c r="E9" s="1">
        <f t="shared" si="0"/>
        <v>286</v>
      </c>
    </row>
    <row r="10" spans="1:5" x14ac:dyDescent="0.3">
      <c r="A10" s="1" t="s">
        <v>5</v>
      </c>
      <c r="B10" s="1">
        <v>182</v>
      </c>
      <c r="C10" s="1">
        <v>42</v>
      </c>
      <c r="D10" s="1">
        <v>0</v>
      </c>
      <c r="E10" s="1">
        <f t="shared" si="0"/>
        <v>224</v>
      </c>
    </row>
    <row r="11" spans="1:5" x14ac:dyDescent="0.3">
      <c r="A11" s="1" t="s">
        <v>4</v>
      </c>
      <c r="B11" s="1">
        <v>98</v>
      </c>
      <c r="C11" s="1">
        <v>29</v>
      </c>
      <c r="D11" s="1">
        <v>1</v>
      </c>
      <c r="E11" s="1">
        <f t="shared" si="0"/>
        <v>128</v>
      </c>
    </row>
    <row r="12" spans="1:5" x14ac:dyDescent="0.3">
      <c r="A12" s="1" t="s">
        <v>3</v>
      </c>
      <c r="B12" s="1">
        <v>53</v>
      </c>
      <c r="C12" s="1">
        <v>20</v>
      </c>
      <c r="D12" s="1">
        <v>2</v>
      </c>
      <c r="E12" s="1">
        <f t="shared" si="0"/>
        <v>75</v>
      </c>
    </row>
    <row r="13" spans="1:5" x14ac:dyDescent="0.3">
      <c r="A13" s="1" t="s">
        <v>2</v>
      </c>
      <c r="B13" s="1">
        <v>28</v>
      </c>
      <c r="C13" s="1">
        <v>23</v>
      </c>
      <c r="D13" s="1">
        <v>0</v>
      </c>
      <c r="E13" s="1">
        <f t="shared" si="0"/>
        <v>51</v>
      </c>
    </row>
    <row r="14" spans="1:5" x14ac:dyDescent="0.3">
      <c r="A14" s="1" t="s">
        <v>1</v>
      </c>
      <c r="B14" s="1">
        <v>52</v>
      </c>
      <c r="C14" s="1">
        <v>28</v>
      </c>
      <c r="D14" s="1">
        <v>1</v>
      </c>
      <c r="E14" s="1">
        <f t="shared" si="0"/>
        <v>81</v>
      </c>
    </row>
    <row r="15" spans="1:5" x14ac:dyDescent="0.3">
      <c r="A15" s="1" t="s">
        <v>0</v>
      </c>
      <c r="B15" s="1">
        <v>1</v>
      </c>
      <c r="C15" s="1">
        <v>0</v>
      </c>
      <c r="D15" s="1">
        <v>0</v>
      </c>
      <c r="E15" s="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2021</vt:lpstr>
      <vt:lpstr>2022</vt:lpstr>
      <vt:lpstr>2023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orlan</dc:creator>
  <cp:lastModifiedBy>Genesis Perez</cp:lastModifiedBy>
  <dcterms:created xsi:type="dcterms:W3CDTF">2024-11-15T00:36:34Z</dcterms:created>
  <dcterms:modified xsi:type="dcterms:W3CDTF">2026-06-11T14:41:51Z</dcterms:modified>
</cp:coreProperties>
</file>